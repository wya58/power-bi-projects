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e\Desktop\FP&amp;A Project\"/>
    </mc:Choice>
  </mc:AlternateContent>
  <xr:revisionPtr revIDLastSave="0" documentId="13_ncr:1_{D7CED232-226E-4C21-BC00-A4E0ED2B8BCA}" xr6:coauthVersionLast="47" xr6:coauthVersionMax="47" xr10:uidLastSave="{00000000-0000-0000-0000-000000000000}"/>
  <bookViews>
    <workbookView xWindow="-110" yWindow="-110" windowWidth="22620" windowHeight="13500" firstSheet="2" activeTab="4" xr2:uid="{1CA2784B-8A85-4D75-A9B7-0105E050B24B}"/>
  </bookViews>
  <sheets>
    <sheet name="IncomeStatement" sheetId="1" r:id="rId1"/>
    <sheet name="IncomeStatement_T" sheetId="4" r:id="rId2"/>
    <sheet name="RevenueModel" sheetId="12" r:id="rId3"/>
    <sheet name="ModelSummary" sheetId="13" r:id="rId4"/>
    <sheet name="Actual vs. Budget" sheetId="25" r:id="rId5"/>
    <sheet name="Actual vs. Model" sheetId="26" r:id="rId6"/>
    <sheet name="Scenario Planning" sheetId="24" r:id="rId7"/>
  </sheets>
  <definedNames>
    <definedName name="_xlnm._FilterDatabase" localSheetId="4" hidden="1">'Actual vs. Budget'!$A$1:$H$181</definedName>
    <definedName name="solver_adj" localSheetId="2" hidden="1">RevenueModel!$AE$2,RevenueModel!$AF$2,RevenueModel!$AG$2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RevenueModel!$AE$2</definedName>
    <definedName name="solver_lhs2" localSheetId="2" hidden="1">RevenueModel!$AE$2</definedName>
    <definedName name="solver_lhs3" localSheetId="2" hidden="1">RevenueModel!$AF$2</definedName>
    <definedName name="solver_lhs4" localSheetId="2" hidden="1">RevenueModel!$AF$2</definedName>
    <definedName name="solver_lhs5" localSheetId="2" hidden="1">RevenueModel!$AG$2</definedName>
    <definedName name="solver_lhs6" localSheetId="2" hidden="1">RevenueModel!$AG$2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6</definedName>
    <definedName name="solver_nwt" localSheetId="2" hidden="1">1</definedName>
    <definedName name="solver_opt" localSheetId="2" hidden="1">RevenueModel!$AK$68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el2" localSheetId="2" hidden="1">3</definedName>
    <definedName name="solver_rel3" localSheetId="2" hidden="1">1</definedName>
    <definedName name="solver_rel4" localSheetId="2" hidden="1">3</definedName>
    <definedName name="solver_rel5" localSheetId="2" hidden="1">1</definedName>
    <definedName name="solver_rel6" localSheetId="2" hidden="1">3</definedName>
    <definedName name="solver_rhs1" localSheetId="2" hidden="1">1</definedName>
    <definedName name="solver_rhs2" localSheetId="2" hidden="1">0</definedName>
    <definedName name="solver_rhs3" localSheetId="2" hidden="1">1</definedName>
    <definedName name="solver_rhs4" localSheetId="2" hidden="1">0</definedName>
    <definedName name="solver_rhs5" localSheetId="2" hidden="1">1</definedName>
    <definedName name="solver_rhs6" localSheetId="2" hidden="1">0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4" l="1"/>
  <c r="C4" i="24"/>
  <c r="C5" i="24"/>
  <c r="C2" i="24"/>
  <c r="C19" i="24"/>
  <c r="C20" i="24"/>
  <c r="C21" i="24"/>
  <c r="C18" i="24"/>
  <c r="C15" i="24"/>
  <c r="C16" i="24"/>
  <c r="C17" i="24"/>
  <c r="C14" i="24"/>
  <c r="C11" i="24"/>
  <c r="C12" i="24"/>
  <c r="C13" i="24"/>
  <c r="C10" i="24"/>
  <c r="C7" i="24"/>
  <c r="C8" i="24"/>
  <c r="C9" i="24"/>
  <c r="C6" i="24"/>
  <c r="C7" i="1"/>
  <c r="D7" i="1"/>
  <c r="B7" i="1"/>
  <c r="AH83" i="12"/>
  <c r="AH82" i="12"/>
  <c r="AH80" i="12"/>
  <c r="AH81" i="12"/>
  <c r="D9" i="13"/>
  <c r="E9" i="13"/>
  <c r="C9" i="13"/>
  <c r="AQ78" i="12"/>
  <c r="AP78" i="12"/>
  <c r="AO78" i="12"/>
  <c r="AN77" i="12"/>
  <c r="AP77" i="12" s="1"/>
  <c r="AN76" i="12"/>
  <c r="AP76" i="12" s="1"/>
  <c r="AN75" i="12"/>
  <c r="AP75" i="12" s="1"/>
  <c r="AN74" i="12"/>
  <c r="AP74" i="12" s="1"/>
  <c r="AN73" i="12"/>
  <c r="AP73" i="12" s="1"/>
  <c r="AN72" i="12"/>
  <c r="AP72" i="12" s="1"/>
  <c r="AN71" i="12"/>
  <c r="AP71" i="12" s="1"/>
  <c r="AN70" i="12"/>
  <c r="AP70" i="12" s="1"/>
  <c r="AQ68" i="12"/>
  <c r="AP68" i="12"/>
  <c r="AO68" i="12"/>
  <c r="AN17" i="12"/>
  <c r="AO17" i="12"/>
  <c r="AP17" i="12"/>
  <c r="AQ17" i="12"/>
  <c r="AN18" i="12"/>
  <c r="AO18" i="12"/>
  <c r="AP18" i="12"/>
  <c r="AQ18" i="12"/>
  <c r="AN19" i="12"/>
  <c r="AO19" i="12"/>
  <c r="AP19" i="12"/>
  <c r="AQ19" i="12"/>
  <c r="AN20" i="12"/>
  <c r="AO20" i="12"/>
  <c r="AP20" i="12"/>
  <c r="AQ20" i="12"/>
  <c r="AN21" i="12"/>
  <c r="AO21" i="12"/>
  <c r="AP21" i="12"/>
  <c r="AQ21" i="12"/>
  <c r="AN22" i="12"/>
  <c r="AO22" i="12"/>
  <c r="AP22" i="12"/>
  <c r="AQ22" i="12"/>
  <c r="AN23" i="12"/>
  <c r="AO23" i="12"/>
  <c r="AP23" i="12"/>
  <c r="AQ23" i="12"/>
  <c r="AN24" i="12"/>
  <c r="AO24" i="12"/>
  <c r="AP24" i="12"/>
  <c r="AQ24" i="12"/>
  <c r="AN25" i="12"/>
  <c r="AO25" i="12"/>
  <c r="AP25" i="12"/>
  <c r="AQ25" i="12"/>
  <c r="AN26" i="12"/>
  <c r="AO26" i="12"/>
  <c r="AP26" i="12"/>
  <c r="AQ26" i="12"/>
  <c r="AN27" i="12"/>
  <c r="AO27" i="12"/>
  <c r="AP27" i="12"/>
  <c r="AQ27" i="12"/>
  <c r="AN28" i="12"/>
  <c r="AO28" i="12"/>
  <c r="AP28" i="12"/>
  <c r="AQ28" i="12"/>
  <c r="AN29" i="12"/>
  <c r="AO29" i="12"/>
  <c r="AP29" i="12"/>
  <c r="AQ29" i="12"/>
  <c r="AN30" i="12"/>
  <c r="AO30" i="12"/>
  <c r="AP30" i="12"/>
  <c r="AQ30" i="12"/>
  <c r="AN31" i="12"/>
  <c r="AO31" i="12"/>
  <c r="AP31" i="12"/>
  <c r="AQ31" i="12"/>
  <c r="AN32" i="12"/>
  <c r="AO32" i="12"/>
  <c r="AP32" i="12"/>
  <c r="AQ32" i="12"/>
  <c r="AN33" i="12"/>
  <c r="AO33" i="12"/>
  <c r="AP33" i="12"/>
  <c r="AQ33" i="12"/>
  <c r="AN34" i="12"/>
  <c r="AO34" i="12"/>
  <c r="AP34" i="12"/>
  <c r="AQ34" i="12"/>
  <c r="AN35" i="12"/>
  <c r="AO35" i="12"/>
  <c r="AP35" i="12"/>
  <c r="AQ35" i="12"/>
  <c r="AN36" i="12"/>
  <c r="AO36" i="12"/>
  <c r="AP36" i="12"/>
  <c r="AQ36" i="12"/>
  <c r="AN37" i="12"/>
  <c r="AO37" i="12"/>
  <c r="AP37" i="12"/>
  <c r="AQ37" i="12"/>
  <c r="AN38" i="12"/>
  <c r="AO38" i="12"/>
  <c r="AP38" i="12"/>
  <c r="AQ38" i="12"/>
  <c r="AN39" i="12"/>
  <c r="AO39" i="12"/>
  <c r="AP39" i="12"/>
  <c r="AQ39" i="12"/>
  <c r="AN40" i="12"/>
  <c r="AO40" i="12"/>
  <c r="AP40" i="12"/>
  <c r="AQ40" i="12"/>
  <c r="AN41" i="12"/>
  <c r="AO41" i="12"/>
  <c r="AP41" i="12"/>
  <c r="AQ41" i="12"/>
  <c r="AN42" i="12"/>
  <c r="AO42" i="12"/>
  <c r="AP42" i="12"/>
  <c r="AQ42" i="12"/>
  <c r="AN43" i="12"/>
  <c r="AO43" i="12"/>
  <c r="AP43" i="12"/>
  <c r="AQ43" i="12"/>
  <c r="AN44" i="12"/>
  <c r="AO44" i="12"/>
  <c r="AP44" i="12"/>
  <c r="AQ44" i="12"/>
  <c r="AN45" i="12"/>
  <c r="AO45" i="12"/>
  <c r="AP45" i="12"/>
  <c r="AQ45" i="12"/>
  <c r="AN46" i="12"/>
  <c r="AO46" i="12"/>
  <c r="AP46" i="12"/>
  <c r="AQ46" i="12"/>
  <c r="AN47" i="12"/>
  <c r="AO47" i="12"/>
  <c r="AP47" i="12"/>
  <c r="AQ47" i="12"/>
  <c r="AN48" i="12"/>
  <c r="AO48" i="12"/>
  <c r="AP48" i="12"/>
  <c r="AQ48" i="12"/>
  <c r="AN49" i="12"/>
  <c r="AO49" i="12"/>
  <c r="AP49" i="12"/>
  <c r="AQ49" i="12"/>
  <c r="AN50" i="12"/>
  <c r="AO50" i="12"/>
  <c r="AP50" i="12"/>
  <c r="AQ50" i="12"/>
  <c r="AN51" i="12"/>
  <c r="AO51" i="12"/>
  <c r="AP51" i="12"/>
  <c r="AQ51" i="12"/>
  <c r="AN52" i="12"/>
  <c r="AO52" i="12"/>
  <c r="AP52" i="12"/>
  <c r="AQ52" i="12"/>
  <c r="AN53" i="12"/>
  <c r="AO53" i="12"/>
  <c r="AP53" i="12"/>
  <c r="AQ53" i="12"/>
  <c r="AN54" i="12"/>
  <c r="AO54" i="12"/>
  <c r="AP54" i="12"/>
  <c r="AQ54" i="12"/>
  <c r="AN55" i="12"/>
  <c r="AO55" i="12"/>
  <c r="AP55" i="12"/>
  <c r="AQ55" i="12"/>
  <c r="AN56" i="12"/>
  <c r="AO56" i="12"/>
  <c r="AP56" i="12"/>
  <c r="AQ56" i="12"/>
  <c r="AN57" i="12"/>
  <c r="AO57" i="12"/>
  <c r="AP57" i="12"/>
  <c r="AQ57" i="12"/>
  <c r="AN58" i="12"/>
  <c r="AO58" i="12"/>
  <c r="AP58" i="12"/>
  <c r="AQ58" i="12"/>
  <c r="AN59" i="12"/>
  <c r="AO59" i="12"/>
  <c r="AP59" i="12"/>
  <c r="AQ59" i="12"/>
  <c r="AN60" i="12"/>
  <c r="AO60" i="12"/>
  <c r="AP60" i="12"/>
  <c r="AQ60" i="12"/>
  <c r="AN61" i="12"/>
  <c r="AO61" i="12"/>
  <c r="AP61" i="12"/>
  <c r="AQ61" i="12"/>
  <c r="AN62" i="12"/>
  <c r="AO62" i="12"/>
  <c r="AP62" i="12"/>
  <c r="AQ62" i="12"/>
  <c r="AN63" i="12"/>
  <c r="AO63" i="12"/>
  <c r="AP63" i="12"/>
  <c r="AQ63" i="12"/>
  <c r="AN64" i="12"/>
  <c r="AO64" i="12"/>
  <c r="AP64" i="12"/>
  <c r="AQ64" i="12"/>
  <c r="AN65" i="12"/>
  <c r="AO65" i="12"/>
  <c r="AP65" i="12"/>
  <c r="AQ65" i="12"/>
  <c r="AN66" i="12"/>
  <c r="AO66" i="12"/>
  <c r="AP66" i="12"/>
  <c r="AQ66" i="12"/>
  <c r="AN67" i="12"/>
  <c r="AO67" i="12"/>
  <c r="AP67" i="12"/>
  <c r="AQ67" i="12"/>
  <c r="AN16" i="12"/>
  <c r="AP16" i="12" s="1"/>
  <c r="E8" i="13"/>
  <c r="D8" i="13"/>
  <c r="C8" i="13"/>
  <c r="E7" i="13"/>
  <c r="D7" i="13"/>
  <c r="C7" i="13"/>
  <c r="E6" i="13"/>
  <c r="D6" i="13"/>
  <c r="C6" i="13"/>
  <c r="E5" i="13"/>
  <c r="D5" i="13"/>
  <c r="C5" i="13"/>
  <c r="E4" i="13"/>
  <c r="D4" i="13"/>
  <c r="C4" i="13"/>
  <c r="E3" i="13"/>
  <c r="D3" i="13"/>
  <c r="C3" i="13"/>
  <c r="AL78" i="12"/>
  <c r="AK78" i="12"/>
  <c r="AJ78" i="12"/>
  <c r="AD78" i="12"/>
  <c r="AC78" i="12"/>
  <c r="AB78" i="12"/>
  <c r="W78" i="12"/>
  <c r="V78" i="12"/>
  <c r="U78" i="12"/>
  <c r="R78" i="12"/>
  <c r="Q78" i="12"/>
  <c r="P78" i="12"/>
  <c r="M78" i="12"/>
  <c r="L78" i="12"/>
  <c r="K78" i="12"/>
  <c r="H78" i="12"/>
  <c r="G78" i="12"/>
  <c r="F78" i="12"/>
  <c r="AL77" i="12"/>
  <c r="AK77" i="12"/>
  <c r="AJ77" i="12"/>
  <c r="AI77" i="12"/>
  <c r="AH77" i="12"/>
  <c r="AG77" i="12"/>
  <c r="AF77" i="12"/>
  <c r="AE77" i="12"/>
  <c r="AD77" i="12"/>
  <c r="AC77" i="12"/>
  <c r="AB77" i="12"/>
  <c r="AA77" i="12"/>
  <c r="Z77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AL76" i="12"/>
  <c r="AK76" i="12"/>
  <c r="AJ76" i="12"/>
  <c r="AI76" i="12"/>
  <c r="AH76" i="12"/>
  <c r="AG76" i="12"/>
  <c r="AF76" i="12"/>
  <c r="AE76" i="12"/>
  <c r="AD76" i="12"/>
  <c r="AC76" i="12"/>
  <c r="AB76" i="12"/>
  <c r="AA76" i="12"/>
  <c r="Z76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AL75" i="12"/>
  <c r="AK75" i="12"/>
  <c r="AJ75" i="12"/>
  <c r="AI75" i="12"/>
  <c r="AH75" i="12"/>
  <c r="AG75" i="12"/>
  <c r="AF75" i="12"/>
  <c r="AE75" i="12"/>
  <c r="AD75" i="12"/>
  <c r="AC75" i="12"/>
  <c r="AB75" i="12"/>
  <c r="AA75" i="12"/>
  <c r="Z75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AL74" i="12"/>
  <c r="AK74" i="12"/>
  <c r="AJ74" i="12"/>
  <c r="AI74" i="12"/>
  <c r="AH74" i="12"/>
  <c r="AG74" i="12"/>
  <c r="AF74" i="12"/>
  <c r="AE74" i="12"/>
  <c r="AD74" i="12"/>
  <c r="AC74" i="12"/>
  <c r="AB74" i="12"/>
  <c r="AA74" i="12"/>
  <c r="Z74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AL73" i="12"/>
  <c r="AK73" i="12"/>
  <c r="AJ73" i="12"/>
  <c r="AI73" i="12"/>
  <c r="AH73" i="12"/>
  <c r="AG73" i="12"/>
  <c r="AF73" i="12"/>
  <c r="AE73" i="12"/>
  <c r="AD73" i="12"/>
  <c r="AC73" i="12"/>
  <c r="AB73" i="12"/>
  <c r="AA73" i="12"/>
  <c r="Z73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AL72" i="12"/>
  <c r="AK72" i="12"/>
  <c r="AJ72" i="12"/>
  <c r="AI72" i="12"/>
  <c r="AH72" i="12"/>
  <c r="AG72" i="12"/>
  <c r="AF72" i="12"/>
  <c r="AE72" i="12"/>
  <c r="AD72" i="12"/>
  <c r="AC72" i="12"/>
  <c r="AB72" i="12"/>
  <c r="AA72" i="12"/>
  <c r="Z72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AL71" i="12"/>
  <c r="AK71" i="12"/>
  <c r="AJ71" i="12"/>
  <c r="AI71" i="12"/>
  <c r="AH71" i="12"/>
  <c r="AG71" i="12"/>
  <c r="AF71" i="12"/>
  <c r="AE71" i="12"/>
  <c r="AD71" i="12"/>
  <c r="AC71" i="12"/>
  <c r="AB71" i="12"/>
  <c r="AA71" i="12"/>
  <c r="Z71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AL70" i="12"/>
  <c r="AK70" i="12"/>
  <c r="AJ70" i="12"/>
  <c r="AI70" i="12"/>
  <c r="AH70" i="12"/>
  <c r="AG70" i="12"/>
  <c r="AF70" i="12"/>
  <c r="AE70" i="12"/>
  <c r="AD70" i="12"/>
  <c r="AC70" i="12"/>
  <c r="AB70" i="12"/>
  <c r="AA70" i="12"/>
  <c r="Z70" i="12"/>
  <c r="Y70" i="12"/>
  <c r="X70" i="12"/>
  <c r="W70" i="12"/>
  <c r="V70" i="12"/>
  <c r="U70" i="12"/>
  <c r="T70" i="12"/>
  <c r="S70" i="12"/>
  <c r="R70" i="12"/>
  <c r="Q70" i="12"/>
  <c r="P70" i="12"/>
  <c r="O70" i="12"/>
  <c r="N70" i="12"/>
  <c r="M70" i="12"/>
  <c r="L70" i="12"/>
  <c r="K70" i="12"/>
  <c r="J70" i="12"/>
  <c r="I70" i="12"/>
  <c r="H70" i="12"/>
  <c r="G70" i="12"/>
  <c r="F70" i="12"/>
  <c r="E70" i="12"/>
  <c r="D70" i="12"/>
  <c r="AL68" i="12"/>
  <c r="AK68" i="12"/>
  <c r="AJ68" i="12"/>
  <c r="AD68" i="12"/>
  <c r="AC68" i="12"/>
  <c r="AB68" i="12"/>
  <c r="W68" i="12"/>
  <c r="V68" i="12"/>
  <c r="U68" i="12"/>
  <c r="R68" i="12"/>
  <c r="Q68" i="12"/>
  <c r="P68" i="12"/>
  <c r="M68" i="12"/>
  <c r="L68" i="12"/>
  <c r="K68" i="12"/>
  <c r="H68" i="12"/>
  <c r="G68" i="12"/>
  <c r="F68" i="12"/>
  <c r="AL67" i="12"/>
  <c r="AK67" i="12"/>
  <c r="AJ67" i="12"/>
  <c r="AI67" i="12"/>
  <c r="AH67" i="12"/>
  <c r="AG67" i="12"/>
  <c r="AF67" i="12"/>
  <c r="AE67" i="12"/>
  <c r="AD67" i="12"/>
  <c r="AC67" i="12"/>
  <c r="AB67" i="12"/>
  <c r="AA67" i="12"/>
  <c r="Z67" i="12"/>
  <c r="Y67" i="12"/>
  <c r="X67" i="12"/>
  <c r="W67" i="12"/>
  <c r="V67" i="12"/>
  <c r="U67" i="12"/>
  <c r="T67" i="12"/>
  <c r="S67" i="12"/>
  <c r="R67" i="12"/>
  <c r="Q67" i="12"/>
  <c r="P67" i="12"/>
  <c r="O67" i="12"/>
  <c r="N67" i="12"/>
  <c r="M67" i="12"/>
  <c r="L67" i="12"/>
  <c r="K67" i="12"/>
  <c r="J67" i="12"/>
  <c r="I67" i="12"/>
  <c r="H67" i="12"/>
  <c r="G67" i="12"/>
  <c r="F67" i="12"/>
  <c r="E67" i="12"/>
  <c r="D67" i="12"/>
  <c r="AL66" i="12"/>
  <c r="AK66" i="12"/>
  <c r="AJ66" i="12"/>
  <c r="AI66" i="12"/>
  <c r="AH66" i="12"/>
  <c r="AG66" i="12"/>
  <c r="AF66" i="12"/>
  <c r="AE66" i="12"/>
  <c r="AD66" i="12"/>
  <c r="AC66" i="12"/>
  <c r="AB66" i="12"/>
  <c r="AA66" i="12"/>
  <c r="Z66" i="12"/>
  <c r="Y66" i="12"/>
  <c r="X66" i="12"/>
  <c r="W66" i="12"/>
  <c r="V66" i="12"/>
  <c r="U66" i="12"/>
  <c r="T66" i="12"/>
  <c r="S66" i="12"/>
  <c r="R66" i="12"/>
  <c r="Q66" i="12"/>
  <c r="P66" i="12"/>
  <c r="O66" i="12"/>
  <c r="N66" i="12"/>
  <c r="M66" i="12"/>
  <c r="L66" i="12"/>
  <c r="K66" i="12"/>
  <c r="J66" i="12"/>
  <c r="I66" i="12"/>
  <c r="H66" i="12"/>
  <c r="G66" i="12"/>
  <c r="F66" i="12"/>
  <c r="E66" i="12"/>
  <c r="D66" i="12"/>
  <c r="AL65" i="12"/>
  <c r="AK65" i="12"/>
  <c r="AJ65" i="12"/>
  <c r="AI65" i="12"/>
  <c r="AH65" i="12"/>
  <c r="AG65" i="12"/>
  <c r="AF65" i="12"/>
  <c r="AE65" i="12"/>
  <c r="AD65" i="12"/>
  <c r="AC65" i="12"/>
  <c r="AB65" i="12"/>
  <c r="AA65" i="12"/>
  <c r="Z65" i="12"/>
  <c r="Y65" i="12"/>
  <c r="X65" i="12"/>
  <c r="W65" i="12"/>
  <c r="V65" i="12"/>
  <c r="U65" i="12"/>
  <c r="T65" i="12"/>
  <c r="S65" i="12"/>
  <c r="R65" i="12"/>
  <c r="Q65" i="12"/>
  <c r="P65" i="12"/>
  <c r="O65" i="12"/>
  <c r="N65" i="12"/>
  <c r="M65" i="12"/>
  <c r="L65" i="12"/>
  <c r="K65" i="12"/>
  <c r="J65" i="12"/>
  <c r="I65" i="12"/>
  <c r="H65" i="12"/>
  <c r="G65" i="12"/>
  <c r="F65" i="12"/>
  <c r="E65" i="12"/>
  <c r="D65" i="12"/>
  <c r="AL64" i="12"/>
  <c r="AK64" i="12"/>
  <c r="AJ64" i="12"/>
  <c r="AI64" i="12"/>
  <c r="AH64" i="12"/>
  <c r="AG64" i="12"/>
  <c r="AF64" i="12"/>
  <c r="AE64" i="12"/>
  <c r="AD64" i="12"/>
  <c r="AC64" i="12"/>
  <c r="AB64" i="12"/>
  <c r="AA64" i="12"/>
  <c r="Z64" i="12"/>
  <c r="Y64" i="12"/>
  <c r="X64" i="12"/>
  <c r="W64" i="12"/>
  <c r="V64" i="12"/>
  <c r="U64" i="12"/>
  <c r="T64" i="12"/>
  <c r="S64" i="12"/>
  <c r="R64" i="12"/>
  <c r="Q64" i="12"/>
  <c r="P64" i="12"/>
  <c r="O64" i="12"/>
  <c r="N64" i="12"/>
  <c r="M64" i="12"/>
  <c r="L64" i="12"/>
  <c r="K64" i="12"/>
  <c r="J64" i="12"/>
  <c r="I64" i="12"/>
  <c r="H64" i="12"/>
  <c r="G64" i="12"/>
  <c r="F64" i="12"/>
  <c r="E64" i="12"/>
  <c r="D64" i="12"/>
  <c r="AL63" i="12"/>
  <c r="AK63" i="12"/>
  <c r="AJ63" i="12"/>
  <c r="AI63" i="12"/>
  <c r="AH63" i="12"/>
  <c r="AG63" i="12"/>
  <c r="AF63" i="12"/>
  <c r="AE63" i="12"/>
  <c r="AD63" i="12"/>
  <c r="AC63" i="12"/>
  <c r="AB63" i="12"/>
  <c r="AA63" i="12"/>
  <c r="Z63" i="12"/>
  <c r="Y63" i="12"/>
  <c r="X63" i="12"/>
  <c r="W63" i="12"/>
  <c r="V63" i="12"/>
  <c r="U63" i="12"/>
  <c r="T63" i="12"/>
  <c r="S63" i="12"/>
  <c r="R63" i="12"/>
  <c r="Q63" i="12"/>
  <c r="P63" i="12"/>
  <c r="O63" i="12"/>
  <c r="N63" i="12"/>
  <c r="M63" i="12"/>
  <c r="L63" i="12"/>
  <c r="K63" i="12"/>
  <c r="J63" i="12"/>
  <c r="I63" i="12"/>
  <c r="H63" i="12"/>
  <c r="G63" i="12"/>
  <c r="F63" i="12"/>
  <c r="E63" i="12"/>
  <c r="D63" i="12"/>
  <c r="AL62" i="12"/>
  <c r="AK62" i="12"/>
  <c r="AJ62" i="12"/>
  <c r="AI62" i="12"/>
  <c r="AH62" i="12"/>
  <c r="AG62" i="12"/>
  <c r="AF62" i="12"/>
  <c r="AE62" i="12"/>
  <c r="AD62" i="12"/>
  <c r="AC62" i="12"/>
  <c r="AB62" i="12"/>
  <c r="AA62" i="12"/>
  <c r="Z62" i="12"/>
  <c r="Y62" i="12"/>
  <c r="X62" i="12"/>
  <c r="W62" i="12"/>
  <c r="V62" i="12"/>
  <c r="U62" i="12"/>
  <c r="T62" i="12"/>
  <c r="S62" i="12"/>
  <c r="R62" i="12"/>
  <c r="Q62" i="12"/>
  <c r="P62" i="12"/>
  <c r="O62" i="12"/>
  <c r="N62" i="12"/>
  <c r="M62" i="12"/>
  <c r="L62" i="12"/>
  <c r="K62" i="12"/>
  <c r="J62" i="12"/>
  <c r="I62" i="12"/>
  <c r="H62" i="12"/>
  <c r="G62" i="12"/>
  <c r="F62" i="12"/>
  <c r="E62" i="12"/>
  <c r="D62" i="12"/>
  <c r="AL61" i="12"/>
  <c r="AK61" i="12"/>
  <c r="AJ61" i="12"/>
  <c r="AI61" i="12"/>
  <c r="AH61" i="12"/>
  <c r="AG61" i="12"/>
  <c r="AF61" i="12"/>
  <c r="AE61" i="12"/>
  <c r="AD61" i="12"/>
  <c r="AC61" i="12"/>
  <c r="AB61" i="12"/>
  <c r="AA61" i="12"/>
  <c r="Z61" i="12"/>
  <c r="Y61" i="12"/>
  <c r="X61" i="12"/>
  <c r="W61" i="12"/>
  <c r="V61" i="12"/>
  <c r="U61" i="12"/>
  <c r="T61" i="12"/>
  <c r="S61" i="12"/>
  <c r="R61" i="12"/>
  <c r="Q61" i="12"/>
  <c r="P61" i="12"/>
  <c r="O61" i="12"/>
  <c r="N61" i="12"/>
  <c r="M61" i="12"/>
  <c r="L61" i="12"/>
  <c r="K61" i="12"/>
  <c r="J61" i="12"/>
  <c r="I61" i="12"/>
  <c r="H61" i="12"/>
  <c r="G61" i="12"/>
  <c r="F61" i="12"/>
  <c r="E61" i="12"/>
  <c r="D61" i="12"/>
  <c r="AL60" i="12"/>
  <c r="AK60" i="12"/>
  <c r="AJ60" i="12"/>
  <c r="AI60" i="12"/>
  <c r="AH60" i="12"/>
  <c r="AG60" i="12"/>
  <c r="AF60" i="12"/>
  <c r="AE60" i="12"/>
  <c r="AD60" i="12"/>
  <c r="AC60" i="12"/>
  <c r="AB60" i="12"/>
  <c r="AA60" i="12"/>
  <c r="Z60" i="12"/>
  <c r="Y60" i="12"/>
  <c r="X60" i="12"/>
  <c r="W60" i="12"/>
  <c r="V60" i="12"/>
  <c r="U60" i="12"/>
  <c r="T60" i="12"/>
  <c r="S60" i="12"/>
  <c r="R60" i="12"/>
  <c r="Q60" i="12"/>
  <c r="P60" i="12"/>
  <c r="O60" i="12"/>
  <c r="N60" i="12"/>
  <c r="M60" i="12"/>
  <c r="L60" i="12"/>
  <c r="K60" i="12"/>
  <c r="J60" i="12"/>
  <c r="I60" i="12"/>
  <c r="H60" i="12"/>
  <c r="G60" i="12"/>
  <c r="F60" i="12"/>
  <c r="E60" i="12"/>
  <c r="D60" i="12"/>
  <c r="AL59" i="12"/>
  <c r="AK59" i="12"/>
  <c r="AJ59" i="12"/>
  <c r="AI59" i="12"/>
  <c r="AH59" i="12"/>
  <c r="AG59" i="12"/>
  <c r="AF59" i="12"/>
  <c r="AE59" i="12"/>
  <c r="AD59" i="12"/>
  <c r="AC59" i="12"/>
  <c r="AB59" i="12"/>
  <c r="AA59" i="12"/>
  <c r="Z59" i="12"/>
  <c r="Y59" i="12"/>
  <c r="X59" i="12"/>
  <c r="W59" i="12"/>
  <c r="V59" i="12"/>
  <c r="U59" i="12"/>
  <c r="T59" i="12"/>
  <c r="S59" i="12"/>
  <c r="R59" i="12"/>
  <c r="Q59" i="12"/>
  <c r="P59" i="12"/>
  <c r="O59" i="12"/>
  <c r="N59" i="12"/>
  <c r="M59" i="12"/>
  <c r="L59" i="12"/>
  <c r="K59" i="12"/>
  <c r="J59" i="12"/>
  <c r="I59" i="12"/>
  <c r="H59" i="12"/>
  <c r="G59" i="12"/>
  <c r="F59" i="12"/>
  <c r="E59" i="12"/>
  <c r="D59" i="12"/>
  <c r="AL58" i="12"/>
  <c r="AK58" i="12"/>
  <c r="AJ58" i="12"/>
  <c r="AI58" i="12"/>
  <c r="AH58" i="12"/>
  <c r="AG58" i="12"/>
  <c r="AF58" i="12"/>
  <c r="AE58" i="12"/>
  <c r="AD58" i="12"/>
  <c r="AC58" i="12"/>
  <c r="AB58" i="12"/>
  <c r="AA58" i="12"/>
  <c r="Z58" i="12"/>
  <c r="Y58" i="12"/>
  <c r="X58" i="12"/>
  <c r="W58" i="12"/>
  <c r="V58" i="12"/>
  <c r="U58" i="12"/>
  <c r="T58" i="12"/>
  <c r="S58" i="12"/>
  <c r="R58" i="12"/>
  <c r="Q58" i="12"/>
  <c r="P58" i="12"/>
  <c r="O58" i="12"/>
  <c r="N58" i="12"/>
  <c r="M58" i="12"/>
  <c r="L58" i="12"/>
  <c r="K58" i="12"/>
  <c r="J58" i="12"/>
  <c r="I58" i="12"/>
  <c r="H58" i="12"/>
  <c r="G58" i="12"/>
  <c r="F58" i="12"/>
  <c r="E58" i="12"/>
  <c r="D58" i="12"/>
  <c r="AL57" i="12"/>
  <c r="AK57" i="12"/>
  <c r="AJ57" i="12"/>
  <c r="AI57" i="12"/>
  <c r="AH57" i="12"/>
  <c r="AG57" i="12"/>
  <c r="AF57" i="12"/>
  <c r="AE57" i="12"/>
  <c r="AD57" i="12"/>
  <c r="AC57" i="12"/>
  <c r="AB57" i="12"/>
  <c r="AA57" i="12"/>
  <c r="Z57" i="12"/>
  <c r="Y57" i="12"/>
  <c r="X57" i="12"/>
  <c r="W57" i="12"/>
  <c r="V57" i="12"/>
  <c r="U57" i="12"/>
  <c r="T57" i="12"/>
  <c r="S57" i="12"/>
  <c r="R57" i="12"/>
  <c r="Q57" i="12"/>
  <c r="P57" i="12"/>
  <c r="O57" i="12"/>
  <c r="N57" i="12"/>
  <c r="M57" i="12"/>
  <c r="L57" i="12"/>
  <c r="K57" i="12"/>
  <c r="J57" i="12"/>
  <c r="I57" i="12"/>
  <c r="H57" i="12"/>
  <c r="G57" i="12"/>
  <c r="F57" i="12"/>
  <c r="E57" i="12"/>
  <c r="D57" i="12"/>
  <c r="AL56" i="12"/>
  <c r="AK56" i="12"/>
  <c r="AJ56" i="12"/>
  <c r="AI56" i="12"/>
  <c r="AH56" i="12"/>
  <c r="AG56" i="12"/>
  <c r="AF56" i="12"/>
  <c r="AE56" i="12"/>
  <c r="AD56" i="12"/>
  <c r="AC56" i="12"/>
  <c r="AB56" i="12"/>
  <c r="AA56" i="12"/>
  <c r="Z56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AL55" i="12"/>
  <c r="AK55" i="12"/>
  <c r="AJ55" i="12"/>
  <c r="AI55" i="12"/>
  <c r="AH55" i="12"/>
  <c r="AG55" i="12"/>
  <c r="AF55" i="12"/>
  <c r="AE55" i="12"/>
  <c r="AD55" i="12"/>
  <c r="AC55" i="12"/>
  <c r="AB55" i="12"/>
  <c r="AA55" i="12"/>
  <c r="Z55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AL54" i="12"/>
  <c r="AK54" i="12"/>
  <c r="AJ54" i="12"/>
  <c r="AI54" i="12"/>
  <c r="AH54" i="12"/>
  <c r="AG54" i="12"/>
  <c r="AF54" i="12"/>
  <c r="AE54" i="12"/>
  <c r="AD54" i="12"/>
  <c r="AC54" i="12"/>
  <c r="AB54" i="12"/>
  <c r="AA54" i="12"/>
  <c r="Z54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AL53" i="12"/>
  <c r="AK53" i="12"/>
  <c r="AJ53" i="12"/>
  <c r="AI53" i="12"/>
  <c r="AH53" i="12"/>
  <c r="AG53" i="12"/>
  <c r="AF53" i="12"/>
  <c r="AE53" i="12"/>
  <c r="AD53" i="12"/>
  <c r="AC53" i="12"/>
  <c r="AB53" i="12"/>
  <c r="AA53" i="12"/>
  <c r="Z53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AL52" i="12"/>
  <c r="AK52" i="12"/>
  <c r="AJ52" i="12"/>
  <c r="AI52" i="12"/>
  <c r="AH52" i="12"/>
  <c r="AG52" i="12"/>
  <c r="AF52" i="12"/>
  <c r="AE52" i="12"/>
  <c r="AD52" i="12"/>
  <c r="AC52" i="12"/>
  <c r="AB52" i="12"/>
  <c r="AA52" i="12"/>
  <c r="Z52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AL51" i="12"/>
  <c r="AK51" i="12"/>
  <c r="AJ51" i="12"/>
  <c r="AI51" i="12"/>
  <c r="AH51" i="12"/>
  <c r="AG51" i="12"/>
  <c r="AF51" i="12"/>
  <c r="AE51" i="12"/>
  <c r="AD51" i="12"/>
  <c r="AC51" i="12"/>
  <c r="AB51" i="12"/>
  <c r="AA51" i="12"/>
  <c r="Z51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AL50" i="12"/>
  <c r="AK50" i="12"/>
  <c r="AJ50" i="12"/>
  <c r="AI50" i="12"/>
  <c r="AH50" i="12"/>
  <c r="AG50" i="12"/>
  <c r="AF50" i="12"/>
  <c r="AE50" i="12"/>
  <c r="AD50" i="12"/>
  <c r="AC50" i="12"/>
  <c r="AB50" i="12"/>
  <c r="AA50" i="12"/>
  <c r="Z50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AL49" i="12"/>
  <c r="AK49" i="12"/>
  <c r="AJ49" i="12"/>
  <c r="AI49" i="12"/>
  <c r="AH49" i="12"/>
  <c r="AG49" i="12"/>
  <c r="AF49" i="12"/>
  <c r="AE49" i="12"/>
  <c r="AD49" i="12"/>
  <c r="AC49" i="12"/>
  <c r="AB49" i="12"/>
  <c r="AA49" i="12"/>
  <c r="Z49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AL48" i="12"/>
  <c r="AK48" i="12"/>
  <c r="AJ48" i="12"/>
  <c r="AI48" i="12"/>
  <c r="AH48" i="12"/>
  <c r="AG48" i="12"/>
  <c r="AF48" i="12"/>
  <c r="AE48" i="12"/>
  <c r="AD48" i="12"/>
  <c r="AC48" i="12"/>
  <c r="AB48" i="12"/>
  <c r="AA48" i="12"/>
  <c r="Z48" i="12"/>
  <c r="Y48" i="12"/>
  <c r="X48" i="12"/>
  <c r="W48" i="12"/>
  <c r="V48" i="12"/>
  <c r="U48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AL47" i="12"/>
  <c r="AK47" i="12"/>
  <c r="AJ47" i="12"/>
  <c r="AI47" i="12"/>
  <c r="AH47" i="12"/>
  <c r="AG47" i="12"/>
  <c r="AF47" i="12"/>
  <c r="AE47" i="12"/>
  <c r="AD47" i="12"/>
  <c r="AC47" i="12"/>
  <c r="AB47" i="12"/>
  <c r="AA47" i="12"/>
  <c r="Z47" i="12"/>
  <c r="Y47" i="12"/>
  <c r="X47" i="12"/>
  <c r="W47" i="12"/>
  <c r="V47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AL46" i="12"/>
  <c r="AK46" i="12"/>
  <c r="AJ46" i="12"/>
  <c r="AI46" i="12"/>
  <c r="AH46" i="12"/>
  <c r="AG46" i="12"/>
  <c r="AF46" i="12"/>
  <c r="AE46" i="12"/>
  <c r="AD46" i="12"/>
  <c r="AC46" i="12"/>
  <c r="AB46" i="12"/>
  <c r="AA46" i="12"/>
  <c r="Z46" i="12"/>
  <c r="Y46" i="12"/>
  <c r="X46" i="12"/>
  <c r="W46" i="12"/>
  <c r="V46" i="12"/>
  <c r="U46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AL45" i="12"/>
  <c r="AK45" i="12"/>
  <c r="AJ45" i="12"/>
  <c r="AI45" i="12"/>
  <c r="AH45" i="12"/>
  <c r="AG45" i="12"/>
  <c r="AF45" i="12"/>
  <c r="AE45" i="12"/>
  <c r="AD45" i="12"/>
  <c r="AC45" i="12"/>
  <c r="AB45" i="12"/>
  <c r="AA45" i="12"/>
  <c r="Z45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AL44" i="12"/>
  <c r="AK44" i="12"/>
  <c r="AJ44" i="12"/>
  <c r="AI44" i="12"/>
  <c r="AH44" i="12"/>
  <c r="AG44" i="12"/>
  <c r="AF44" i="12"/>
  <c r="AE44" i="12"/>
  <c r="AD44" i="12"/>
  <c r="AC44" i="12"/>
  <c r="AB44" i="12"/>
  <c r="AA44" i="12"/>
  <c r="Z44" i="12"/>
  <c r="Y44" i="12"/>
  <c r="X44" i="12"/>
  <c r="W44" i="12"/>
  <c r="V44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AL43" i="12"/>
  <c r="AK43" i="12"/>
  <c r="AJ43" i="12"/>
  <c r="AI43" i="12"/>
  <c r="AH43" i="12"/>
  <c r="AG43" i="12"/>
  <c r="AF43" i="12"/>
  <c r="AE43" i="12"/>
  <c r="AD43" i="12"/>
  <c r="AC43" i="12"/>
  <c r="AB43" i="12"/>
  <c r="AA43" i="12"/>
  <c r="Z43" i="12"/>
  <c r="Y43" i="12"/>
  <c r="X43" i="12"/>
  <c r="W43" i="12"/>
  <c r="V43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AL42" i="12"/>
  <c r="AK42" i="12"/>
  <c r="AJ42" i="12"/>
  <c r="AI42" i="12"/>
  <c r="AH42" i="12"/>
  <c r="AG42" i="12"/>
  <c r="AF42" i="12"/>
  <c r="AE42" i="12"/>
  <c r="AD42" i="12"/>
  <c r="AC42" i="12"/>
  <c r="AB42" i="12"/>
  <c r="AA42" i="12"/>
  <c r="Z42" i="12"/>
  <c r="Y42" i="12"/>
  <c r="X42" i="12"/>
  <c r="W42" i="12"/>
  <c r="V42" i="12"/>
  <c r="U42" i="12"/>
  <c r="T42" i="12"/>
  <c r="S42" i="12"/>
  <c r="R42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AL41" i="12"/>
  <c r="AK41" i="12"/>
  <c r="AJ41" i="12"/>
  <c r="AI41" i="12"/>
  <c r="AH41" i="12"/>
  <c r="AG41" i="12"/>
  <c r="AF41" i="12"/>
  <c r="AE41" i="12"/>
  <c r="AD41" i="12"/>
  <c r="AC41" i="12"/>
  <c r="AB41" i="12"/>
  <c r="AA41" i="12"/>
  <c r="Z41" i="12"/>
  <c r="Y41" i="12"/>
  <c r="X41" i="12"/>
  <c r="W41" i="12"/>
  <c r="V41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AL40" i="12"/>
  <c r="AK40" i="12"/>
  <c r="AJ40" i="12"/>
  <c r="AI40" i="12"/>
  <c r="AH40" i="12"/>
  <c r="AG40" i="12"/>
  <c r="AF40" i="12"/>
  <c r="AE40" i="12"/>
  <c r="AD40" i="12"/>
  <c r="AC40" i="12"/>
  <c r="AB40" i="12"/>
  <c r="AA40" i="12"/>
  <c r="Z40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AL39" i="12"/>
  <c r="AK39" i="12"/>
  <c r="AJ39" i="12"/>
  <c r="AI39" i="12"/>
  <c r="AH39" i="12"/>
  <c r="AG39" i="12"/>
  <c r="AF39" i="12"/>
  <c r="AE39" i="12"/>
  <c r="AD39" i="12"/>
  <c r="AC39" i="12"/>
  <c r="AB39" i="12"/>
  <c r="AA39" i="12"/>
  <c r="Z39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AL38" i="12"/>
  <c r="AK38" i="12"/>
  <c r="AJ38" i="12"/>
  <c r="AI38" i="12"/>
  <c r="AH38" i="12"/>
  <c r="AG38" i="12"/>
  <c r="AF38" i="12"/>
  <c r="AE38" i="12"/>
  <c r="AD38" i="12"/>
  <c r="AC38" i="12"/>
  <c r="AB38" i="12"/>
  <c r="AA38" i="12"/>
  <c r="Z38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AL37" i="12"/>
  <c r="AK37" i="12"/>
  <c r="AJ37" i="12"/>
  <c r="AI37" i="12"/>
  <c r="AH37" i="12"/>
  <c r="AG37" i="12"/>
  <c r="AF37" i="12"/>
  <c r="AE37" i="12"/>
  <c r="AD37" i="12"/>
  <c r="AC37" i="12"/>
  <c r="AB37" i="12"/>
  <c r="AA37" i="12"/>
  <c r="Z37" i="12"/>
  <c r="Y37" i="12"/>
  <c r="X37" i="12"/>
  <c r="W37" i="12"/>
  <c r="V37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AL36" i="12"/>
  <c r="AK36" i="12"/>
  <c r="AJ36" i="12"/>
  <c r="AI36" i="12"/>
  <c r="AH36" i="12"/>
  <c r="AG36" i="12"/>
  <c r="AF36" i="12"/>
  <c r="AE36" i="12"/>
  <c r="AD36" i="12"/>
  <c r="AC36" i="12"/>
  <c r="AB36" i="12"/>
  <c r="AA36" i="12"/>
  <c r="Z36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AL35" i="12"/>
  <c r="AK35" i="12"/>
  <c r="AJ35" i="12"/>
  <c r="AI35" i="12"/>
  <c r="AH35" i="12"/>
  <c r="AG35" i="12"/>
  <c r="AF35" i="12"/>
  <c r="AE35" i="12"/>
  <c r="AD35" i="12"/>
  <c r="AC35" i="12"/>
  <c r="AB35" i="12"/>
  <c r="AA35" i="12"/>
  <c r="Z35" i="12"/>
  <c r="Y35" i="12"/>
  <c r="X35" i="12"/>
  <c r="W35" i="12"/>
  <c r="V35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AL34" i="12"/>
  <c r="AK34" i="12"/>
  <c r="AJ34" i="12"/>
  <c r="AI34" i="12"/>
  <c r="AH34" i="12"/>
  <c r="AG34" i="12"/>
  <c r="AF34" i="12"/>
  <c r="AE34" i="12"/>
  <c r="AD34" i="12"/>
  <c r="AC34" i="12"/>
  <c r="AB34" i="12"/>
  <c r="AA34" i="12"/>
  <c r="Z34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AL33" i="12"/>
  <c r="AK33" i="12"/>
  <c r="AJ33" i="12"/>
  <c r="AI33" i="12"/>
  <c r="AH33" i="12"/>
  <c r="AG33" i="12"/>
  <c r="AF33" i="12"/>
  <c r="AE33" i="12"/>
  <c r="AD33" i="12"/>
  <c r="AC33" i="12"/>
  <c r="AB33" i="12"/>
  <c r="AA33" i="12"/>
  <c r="Z33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AL32" i="12"/>
  <c r="AK32" i="12"/>
  <c r="AJ32" i="12"/>
  <c r="AI32" i="12"/>
  <c r="AH32" i="12"/>
  <c r="AG32" i="12"/>
  <c r="AF32" i="12"/>
  <c r="AE32" i="12"/>
  <c r="AD32" i="12"/>
  <c r="AC32" i="12"/>
  <c r="AB32" i="12"/>
  <c r="AA32" i="12"/>
  <c r="Z32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AL31" i="12"/>
  <c r="AK31" i="12"/>
  <c r="AJ31" i="12"/>
  <c r="AI31" i="12"/>
  <c r="AH31" i="12"/>
  <c r="AG31" i="12"/>
  <c r="AF31" i="12"/>
  <c r="AE31" i="12"/>
  <c r="AD31" i="12"/>
  <c r="AC31" i="12"/>
  <c r="AB31" i="12"/>
  <c r="AA31" i="12"/>
  <c r="Z31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AL30" i="12"/>
  <c r="AK30" i="12"/>
  <c r="AJ30" i="12"/>
  <c r="AI30" i="12"/>
  <c r="AH30" i="12"/>
  <c r="AG30" i="12"/>
  <c r="AF30" i="12"/>
  <c r="AE30" i="12"/>
  <c r="AD30" i="12"/>
  <c r="AC30" i="12"/>
  <c r="AB30" i="12"/>
  <c r="AA30" i="12"/>
  <c r="Z30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AL29" i="12"/>
  <c r="AK29" i="12"/>
  <c r="AJ29" i="12"/>
  <c r="AI29" i="12"/>
  <c r="AH29" i="12"/>
  <c r="AG29" i="12"/>
  <c r="AF29" i="12"/>
  <c r="AE29" i="12"/>
  <c r="AD29" i="12"/>
  <c r="AC29" i="12"/>
  <c r="AB29" i="12"/>
  <c r="AA29" i="12"/>
  <c r="Z29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AL28" i="12"/>
  <c r="AK28" i="12"/>
  <c r="AJ28" i="12"/>
  <c r="AI28" i="12"/>
  <c r="AH28" i="12"/>
  <c r="AG28" i="12"/>
  <c r="AF28" i="12"/>
  <c r="AE28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AL27" i="12"/>
  <c r="AK27" i="12"/>
  <c r="AJ27" i="12"/>
  <c r="AI27" i="12"/>
  <c r="AH27" i="12"/>
  <c r="AG27" i="12"/>
  <c r="AF27" i="12"/>
  <c r="AE27" i="12"/>
  <c r="AD27" i="12"/>
  <c r="AC27" i="12"/>
  <c r="AB27" i="12"/>
  <c r="AA27" i="12"/>
  <c r="Z27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AL26" i="12"/>
  <c r="AK26" i="12"/>
  <c r="AJ26" i="12"/>
  <c r="AI26" i="12"/>
  <c r="AH26" i="12"/>
  <c r="AG26" i="12"/>
  <c r="AF26" i="12"/>
  <c r="AE26" i="12"/>
  <c r="AD26" i="12"/>
  <c r="AC26" i="12"/>
  <c r="AB26" i="12"/>
  <c r="AA26" i="12"/>
  <c r="Z26" i="12"/>
  <c r="Y26" i="12"/>
  <c r="X26" i="12"/>
  <c r="W26" i="12"/>
  <c r="V26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AL25" i="12"/>
  <c r="AK25" i="12"/>
  <c r="AJ25" i="12"/>
  <c r="AI25" i="12"/>
  <c r="AH25" i="12"/>
  <c r="AG25" i="12"/>
  <c r="AF25" i="12"/>
  <c r="AE25" i="12"/>
  <c r="AD25" i="12"/>
  <c r="AC25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AL24" i="12"/>
  <c r="AK24" i="12"/>
  <c r="AJ24" i="12"/>
  <c r="AI24" i="12"/>
  <c r="AH24" i="12"/>
  <c r="AG24" i="12"/>
  <c r="AF24" i="12"/>
  <c r="AE24" i="12"/>
  <c r="AD24" i="12"/>
  <c r="AC24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AL23" i="12"/>
  <c r="AK23" i="12"/>
  <c r="AJ23" i="12"/>
  <c r="AI23" i="12"/>
  <c r="AH23" i="12"/>
  <c r="AG23" i="12"/>
  <c r="AF23" i="12"/>
  <c r="AE23" i="12"/>
  <c r="AD23" i="12"/>
  <c r="AC23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AL22" i="12"/>
  <c r="AK22" i="12"/>
  <c r="AJ22" i="12"/>
  <c r="AI22" i="12"/>
  <c r="AH22" i="12"/>
  <c r="AG22" i="12"/>
  <c r="AF22" i="12"/>
  <c r="AE22" i="12"/>
  <c r="AD22" i="12"/>
  <c r="AC22" i="12"/>
  <c r="AB22" i="12"/>
  <c r="AA22" i="12"/>
  <c r="Z22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AL21" i="12"/>
  <c r="AK21" i="12"/>
  <c r="AJ21" i="12"/>
  <c r="AI21" i="12"/>
  <c r="AH21" i="12"/>
  <c r="AG21" i="12"/>
  <c r="AF21" i="12"/>
  <c r="AE21" i="12"/>
  <c r="AD21" i="12"/>
  <c r="AC21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AL20" i="12"/>
  <c r="AK20" i="12"/>
  <c r="AJ20" i="12"/>
  <c r="AI20" i="12"/>
  <c r="AH20" i="12"/>
  <c r="AG20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AL19" i="12"/>
  <c r="AK19" i="12"/>
  <c r="AJ19" i="12"/>
  <c r="AI19" i="12"/>
  <c r="AH19" i="12"/>
  <c r="AG19" i="12"/>
  <c r="AF19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AL18" i="12"/>
  <c r="AK18" i="12"/>
  <c r="AJ18" i="12"/>
  <c r="AI18" i="12"/>
  <c r="AH18" i="12"/>
  <c r="AG18" i="12"/>
  <c r="AF18" i="12"/>
  <c r="AE18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AL17" i="12"/>
  <c r="AK17" i="12"/>
  <c r="AJ17" i="12"/>
  <c r="AI17" i="12"/>
  <c r="AH17" i="12"/>
  <c r="AG17" i="12"/>
  <c r="AF17" i="12"/>
  <c r="AE17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AG15" i="12"/>
  <c r="AE15" i="12"/>
  <c r="Y15" i="12"/>
  <c r="X15" i="12"/>
  <c r="AG14" i="12"/>
  <c r="AG13" i="12"/>
  <c r="AG12" i="12"/>
  <c r="AO73" i="12" l="1"/>
  <c r="AQ73" i="12" s="1"/>
  <c r="AO77" i="12"/>
  <c r="AQ77" i="12" s="1"/>
  <c r="AO71" i="12"/>
  <c r="AQ71" i="12" s="1"/>
  <c r="AO76" i="12"/>
  <c r="AQ76" i="12" s="1"/>
  <c r="AO70" i="12"/>
  <c r="AQ70" i="12" s="1"/>
  <c r="AO75" i="12"/>
  <c r="AQ75" i="12" s="1"/>
  <c r="AO74" i="12"/>
  <c r="AQ74" i="12" s="1"/>
  <c r="AO72" i="12"/>
  <c r="AQ72" i="12" s="1"/>
  <c r="AO16" i="12"/>
  <c r="AQ16" i="12" s="1"/>
</calcChain>
</file>

<file path=xl/sharedStrings.xml><?xml version="1.0" encoding="utf-8"?>
<sst xmlns="http://schemas.openxmlformats.org/spreadsheetml/2006/main" count="807" uniqueCount="222">
  <si>
    <t>  </t>
  </si>
  <si>
    <t>In millions, except per share data</t>
  </si>
  <si>
    <t>Revenues</t>
  </si>
  <si>
    <t>Sales by Company-operated restaurants</t>
  </si>
  <si>
    <t>Revenues from franchised restaurants</t>
  </si>
  <si>
    <t>Total revenues</t>
  </si>
  <si>
    <t>Company-operated restaurant expenses</t>
  </si>
  <si>
    <t>Selling, general &amp; administrative expenses</t>
  </si>
  <si>
    <t>Impairment and other charges (credits), net</t>
  </si>
  <si>
    <t>Other operating (income) expense, net</t>
  </si>
  <si>
    <t>Total operating costs and expenses</t>
  </si>
  <si>
    <t>Operating income</t>
  </si>
  <si>
    <t>Interest expense</t>
  </si>
  <si>
    <t>Nonoperating (income) expense, net</t>
  </si>
  <si>
    <t>Gain on sale of investment</t>
  </si>
  <si>
    <t>Income before provision for income taxes</t>
  </si>
  <si>
    <t>Provision for income taxes</t>
  </si>
  <si>
    <t>Net income</t>
  </si>
  <si>
    <t>2010Q1</t>
    <phoneticPr fontId="7" type="noConversion"/>
  </si>
  <si>
    <t>2010Q2</t>
    <phoneticPr fontId="7" type="noConversion"/>
  </si>
  <si>
    <t>2010Q3</t>
    <phoneticPr fontId="7" type="noConversion"/>
  </si>
  <si>
    <t>2010Q4</t>
    <phoneticPr fontId="7" type="noConversion"/>
  </si>
  <si>
    <t>2011Q1</t>
    <phoneticPr fontId="7" type="noConversion"/>
  </si>
  <si>
    <t>2011Q2</t>
    <phoneticPr fontId="7" type="noConversion"/>
  </si>
  <si>
    <t>2011Q3</t>
    <phoneticPr fontId="7" type="noConversion"/>
  </si>
  <si>
    <t>2011Q4</t>
    <phoneticPr fontId="7" type="noConversion"/>
  </si>
  <si>
    <t>2012Q1</t>
    <phoneticPr fontId="7" type="noConversion"/>
  </si>
  <si>
    <t>2012Q2</t>
    <phoneticPr fontId="7" type="noConversion"/>
  </si>
  <si>
    <t>2012Q3</t>
    <phoneticPr fontId="7" type="noConversion"/>
  </si>
  <si>
    <t>2012Q4</t>
    <phoneticPr fontId="7" type="noConversion"/>
  </si>
  <si>
    <t>2013Q1</t>
    <phoneticPr fontId="7" type="noConversion"/>
  </si>
  <si>
    <t>2013Q2</t>
    <phoneticPr fontId="7" type="noConversion"/>
  </si>
  <si>
    <t>2013Q3</t>
    <phoneticPr fontId="7" type="noConversion"/>
  </si>
  <si>
    <t>2013Q4</t>
    <phoneticPr fontId="7" type="noConversion"/>
  </si>
  <si>
    <t>2014Q1</t>
    <phoneticPr fontId="7" type="noConversion"/>
  </si>
  <si>
    <t>2014Q2</t>
    <phoneticPr fontId="7" type="noConversion"/>
  </si>
  <si>
    <t>2014Q3</t>
    <phoneticPr fontId="7" type="noConversion"/>
  </si>
  <si>
    <t>2014Q4</t>
    <phoneticPr fontId="7" type="noConversion"/>
  </si>
  <si>
    <t>2015Q1</t>
    <phoneticPr fontId="7" type="noConversion"/>
  </si>
  <si>
    <t>2015Q2</t>
    <phoneticPr fontId="7" type="noConversion"/>
  </si>
  <si>
    <t>2015Q3</t>
    <phoneticPr fontId="7" type="noConversion"/>
  </si>
  <si>
    <t>2015Q4</t>
    <phoneticPr fontId="7" type="noConversion"/>
  </si>
  <si>
    <t>2016Q1</t>
    <phoneticPr fontId="7" type="noConversion"/>
  </si>
  <si>
    <t>2016Q2</t>
    <phoneticPr fontId="7" type="noConversion"/>
  </si>
  <si>
    <t>2016Q3</t>
    <phoneticPr fontId="7" type="noConversion"/>
  </si>
  <si>
    <t>2016Q4</t>
    <phoneticPr fontId="7" type="noConversion"/>
  </si>
  <si>
    <t>2017Q1</t>
    <phoneticPr fontId="7" type="noConversion"/>
  </si>
  <si>
    <t>2017Q2</t>
    <phoneticPr fontId="7" type="noConversion"/>
  </si>
  <si>
    <t>2017Q3</t>
    <phoneticPr fontId="7" type="noConversion"/>
  </si>
  <si>
    <t>2017Q4</t>
    <phoneticPr fontId="7" type="noConversion"/>
  </si>
  <si>
    <t>2018Q1</t>
    <phoneticPr fontId="7" type="noConversion"/>
  </si>
  <si>
    <t>2018Q2</t>
    <phoneticPr fontId="7" type="noConversion"/>
  </si>
  <si>
    <t>2018Q3</t>
    <phoneticPr fontId="7" type="noConversion"/>
  </si>
  <si>
    <t>2018Q4</t>
    <phoneticPr fontId="7" type="noConversion"/>
  </si>
  <si>
    <t>2019Q1</t>
    <phoneticPr fontId="7" type="noConversion"/>
  </si>
  <si>
    <t>2019Q2</t>
    <phoneticPr fontId="7" type="noConversion"/>
  </si>
  <si>
    <t>2019Q3</t>
    <phoneticPr fontId="7" type="noConversion"/>
  </si>
  <si>
    <t>2019Q4</t>
    <phoneticPr fontId="7" type="noConversion"/>
  </si>
  <si>
    <t>Other Revenues</t>
    <phoneticPr fontId="7" type="noConversion"/>
  </si>
  <si>
    <t>2020Q1</t>
    <phoneticPr fontId="7" type="noConversion"/>
  </si>
  <si>
    <t>2020Q2</t>
    <phoneticPr fontId="7" type="noConversion"/>
  </si>
  <si>
    <t>2020Q3</t>
    <phoneticPr fontId="7" type="noConversion"/>
  </si>
  <si>
    <t>2020Q4</t>
    <phoneticPr fontId="7" type="noConversion"/>
  </si>
  <si>
    <t>2021Q1</t>
    <phoneticPr fontId="7" type="noConversion"/>
  </si>
  <si>
    <t>2021Q2</t>
  </si>
  <si>
    <t>2021Q3</t>
  </si>
  <si>
    <t>Other restaurant expenses</t>
    <phoneticPr fontId="7" type="noConversion"/>
  </si>
  <si>
    <t>2021Q4</t>
    <phoneticPr fontId="7" type="noConversion"/>
  </si>
  <si>
    <t>2021Q2</t>
    <phoneticPr fontId="7" type="noConversion"/>
  </si>
  <si>
    <t>2021Q3</t>
    <phoneticPr fontId="7" type="noConversion"/>
  </si>
  <si>
    <t>2022Q1</t>
  </si>
  <si>
    <t>2022Q1</t>
    <phoneticPr fontId="7" type="noConversion"/>
  </si>
  <si>
    <t>2022Q2</t>
  </si>
  <si>
    <t>2022Q3</t>
  </si>
  <si>
    <t>2022Q4</t>
  </si>
  <si>
    <t>2022Q2</t>
    <phoneticPr fontId="7" type="noConversion"/>
  </si>
  <si>
    <t>2022Q3</t>
    <phoneticPr fontId="7" type="noConversion"/>
  </si>
  <si>
    <t>2022Q4</t>
    <phoneticPr fontId="7" type="noConversion"/>
  </si>
  <si>
    <t>2023Q1</t>
  </si>
  <si>
    <t>2023Q1</t>
    <phoneticPr fontId="7" type="noConversion"/>
  </si>
  <si>
    <t>2023Q2</t>
  </si>
  <si>
    <t>2023Q3</t>
  </si>
  <si>
    <t>2023Q4</t>
  </si>
  <si>
    <t>2023Q4</t>
    <phoneticPr fontId="7" type="noConversion"/>
  </si>
  <si>
    <t>2023Q2</t>
    <phoneticPr fontId="7" type="noConversion"/>
  </si>
  <si>
    <t>2023Q3</t>
    <phoneticPr fontId="7" type="noConversion"/>
  </si>
  <si>
    <t>2024Q1</t>
  </si>
  <si>
    <t>2024Q1</t>
    <phoneticPr fontId="7" type="noConversion"/>
  </si>
  <si>
    <t>2024Q2</t>
  </si>
  <si>
    <t>2024Q3</t>
  </si>
  <si>
    <t>2024Q4</t>
  </si>
  <si>
    <t>2024Q2</t>
    <phoneticPr fontId="7" type="noConversion"/>
  </si>
  <si>
    <t>2024Q3</t>
    <phoneticPr fontId="7" type="noConversion"/>
  </si>
  <si>
    <t>2024Q4</t>
    <phoneticPr fontId="7" type="noConversion"/>
  </si>
  <si>
    <t>Total operating costs and expenses</t>
    <phoneticPr fontId="7" type="noConversion"/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</si>
  <si>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</si>
  <si>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</si>
  <si>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</si>
  <si>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</si>
  <si>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</si>
  <si>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</si>
  <si>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</si>
  <si>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</si>
  <si>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</si>
  <si>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</si>
  <si>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</si>
  <si>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</si>
  <si>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</si>
  <si>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</si>
  <si>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</si>
  <si>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</si>
  <si>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</si>
  <si>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</si>
  <si>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</si>
  <si>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</si>
  <si>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</si>
  <si>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</si>
  <si>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</si>
  <si>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</si>
  <si>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</si>
  <si>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</si>
  <si>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</si>
  <si>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</si>
  <si>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</si>
  <si>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</si>
  <si>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</si>
  <si>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</si>
  <si>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</si>
  <si>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</si>
  <si>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</si>
  <si>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</si>
  <si>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</si>
  <si>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</si>
  <si>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</si>
  <si>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</si>
  <si>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</si>
  <si>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</si>
  <si>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</si>
  <si>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</si>
  <si>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</si>
  <si>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2021Q4</t>
  </si>
  <si>
    <t>2007Q1</t>
    <phoneticPr fontId="7" type="noConversion"/>
  </si>
  <si>
    <t>2008Q1</t>
    <phoneticPr fontId="7" type="noConversion"/>
  </si>
  <si>
    <t>2007Q2</t>
    <phoneticPr fontId="7" type="noConversion"/>
  </si>
  <si>
    <t>2008Q2</t>
    <phoneticPr fontId="7" type="noConversion"/>
  </si>
  <si>
    <t>2007Q3</t>
    <phoneticPr fontId="7" type="noConversion"/>
  </si>
  <si>
    <t>2008Q3</t>
    <phoneticPr fontId="7" type="noConversion"/>
  </si>
  <si>
    <t>2008Q4</t>
    <phoneticPr fontId="7" type="noConversion"/>
  </si>
  <si>
    <t>2007Q4</t>
    <phoneticPr fontId="7" type="noConversion"/>
  </si>
  <si>
    <t>2009Q1</t>
    <phoneticPr fontId="7" type="noConversion"/>
  </si>
  <si>
    <t>2009Q2</t>
  </si>
  <si>
    <t>2009Q3</t>
  </si>
  <si>
    <t>2009Q4</t>
  </si>
  <si>
    <t>Quarter</t>
    <phoneticPr fontId="7" type="noConversion"/>
  </si>
  <si>
    <t>Total Revenue</t>
    <phoneticPr fontId="7" type="noConversion"/>
  </si>
  <si>
    <t>Error</t>
    <phoneticPr fontId="7" type="noConversion"/>
  </si>
  <si>
    <t>MAE</t>
    <phoneticPr fontId="7" type="noConversion"/>
  </si>
  <si>
    <t>MSE</t>
    <phoneticPr fontId="7" type="noConversion"/>
  </si>
  <si>
    <t>MAPE</t>
    <phoneticPr fontId="7" type="noConversion"/>
  </si>
  <si>
    <t>Testing</t>
    <phoneticPr fontId="7" type="noConversion"/>
  </si>
  <si>
    <t>MA3_YoY</t>
    <phoneticPr fontId="7" type="noConversion"/>
  </si>
  <si>
    <t>RMSE</t>
    <phoneticPr fontId="7" type="noConversion"/>
  </si>
  <si>
    <t>Alpha</t>
    <phoneticPr fontId="7" type="noConversion"/>
  </si>
  <si>
    <t>Average</t>
    <phoneticPr fontId="7" type="noConversion"/>
  </si>
  <si>
    <t>Level</t>
    <phoneticPr fontId="7" type="noConversion"/>
  </si>
  <si>
    <t>Trend</t>
    <phoneticPr fontId="7" type="noConversion"/>
  </si>
  <si>
    <t>Holt</t>
    <phoneticPr fontId="7" type="noConversion"/>
  </si>
  <si>
    <t>Beta</t>
    <phoneticPr fontId="7" type="noConversion"/>
  </si>
  <si>
    <t>Seasonal</t>
    <phoneticPr fontId="7" type="noConversion"/>
  </si>
  <si>
    <t>Gamma</t>
    <phoneticPr fontId="7" type="noConversion"/>
  </si>
  <si>
    <t>MA4_Consecutive</t>
    <phoneticPr fontId="7" type="noConversion"/>
  </si>
  <si>
    <t>MA_Hybrid</t>
    <phoneticPr fontId="7" type="noConversion"/>
  </si>
  <si>
    <t>Holt-Winters</t>
    <phoneticPr fontId="7" type="noConversion"/>
  </si>
  <si>
    <t>ARIMA</t>
    <phoneticPr fontId="7" type="noConversion"/>
  </si>
  <si>
    <t>Model Name</t>
    <phoneticPr fontId="7" type="noConversion"/>
  </si>
  <si>
    <t>Training</t>
    <phoneticPr fontId="7" type="noConversion"/>
  </si>
  <si>
    <t>SES</t>
    <phoneticPr fontId="7" type="noConversion"/>
  </si>
  <si>
    <t>Forecasting</t>
    <phoneticPr fontId="7" type="noConversion"/>
  </si>
  <si>
    <t>2025Q1</t>
    <phoneticPr fontId="7" type="noConversion"/>
  </si>
  <si>
    <t>2025Q2</t>
  </si>
  <si>
    <t>2025Q3</t>
  </si>
  <si>
    <t>2025Q4</t>
  </si>
  <si>
    <t>YearQuarter</t>
    <phoneticPr fontId="7" type="noConversion"/>
  </si>
  <si>
    <t>Operating costs and expenses</t>
    <phoneticPr fontId="7" type="noConversion"/>
  </si>
  <si>
    <t>3_Other Revenues</t>
    <phoneticPr fontId="7" type="noConversion"/>
  </si>
  <si>
    <t>1_Sales by Company-operated restaurants</t>
    <phoneticPr fontId="7" type="noConversion"/>
  </si>
  <si>
    <t>2_Revenues from franchised restaurants</t>
    <phoneticPr fontId="7" type="noConversion"/>
  </si>
  <si>
    <t>1_Company-operated restaurant expenses</t>
    <phoneticPr fontId="7" type="noConversion"/>
  </si>
  <si>
    <t>2_Franchised restaurants – occupancy expenses</t>
    <phoneticPr fontId="7" type="noConversion"/>
  </si>
  <si>
    <t>3_Other restaurant expenses</t>
    <phoneticPr fontId="7" type="noConversion"/>
  </si>
  <si>
    <t>4_Selling, general &amp; administrative expenses</t>
    <phoneticPr fontId="7" type="noConversion"/>
  </si>
  <si>
    <t>5_Impairment and other charges (credits), net</t>
    <phoneticPr fontId="7" type="noConversion"/>
  </si>
  <si>
    <t>6_Other operating (income) expense, net</t>
    <phoneticPr fontId="7" type="noConversion"/>
  </si>
  <si>
    <t>1_Interest expense</t>
    <phoneticPr fontId="7" type="noConversion"/>
  </si>
  <si>
    <t>2_Nonoperating (income) expense, net</t>
    <phoneticPr fontId="7" type="noConversion"/>
  </si>
  <si>
    <t>Franchised restaurants – occupancy expenses</t>
    <phoneticPr fontId="7" type="noConversion"/>
  </si>
  <si>
    <t>ForecastRevenue</t>
  </si>
  <si>
    <t>Metrics</t>
    <phoneticPr fontId="7" type="noConversion"/>
  </si>
  <si>
    <t>Actual_Company-operated restaurants</t>
    <phoneticPr fontId="7" type="noConversion"/>
  </si>
  <si>
    <t>Actual_Franchised restaurants</t>
    <phoneticPr fontId="7" type="noConversion"/>
  </si>
  <si>
    <t>Actual_Other</t>
    <phoneticPr fontId="7" type="noConversion"/>
  </si>
  <si>
    <t>Budget_Company-operated restaurants</t>
    <phoneticPr fontId="7" type="noConversion"/>
  </si>
  <si>
    <t>Budget_Franchised restaurants</t>
    <phoneticPr fontId="7" type="noConversion"/>
  </si>
  <si>
    <t>Budget_Other</t>
    <phoneticPr fontId="7" type="noConversion"/>
  </si>
  <si>
    <t>Model_Total revenues</t>
    <phoneticPr fontId="7" type="noConversion"/>
  </si>
  <si>
    <t>Actual_Total revenues</t>
    <phoneticPr fontId="7" type="noConversion"/>
  </si>
  <si>
    <t>Base Case</t>
    <phoneticPr fontId="7" type="noConversion"/>
  </si>
  <si>
    <t>Optimistic</t>
    <phoneticPr fontId="7" type="noConversion"/>
  </si>
  <si>
    <t>Pessimistic</t>
    <phoneticPr fontId="7" type="noConversion"/>
  </si>
  <si>
    <t>Scenario</t>
    <phoneticPr fontId="7" type="noConversion"/>
  </si>
  <si>
    <t>Aggressive</t>
    <phoneticPr fontId="7" type="noConversion"/>
  </si>
  <si>
    <t>Conservative</t>
    <phoneticPr fontId="7" type="noConversion"/>
  </si>
  <si>
    <t>Average Variance</t>
    <phoneticPr fontId="7" type="noConversion"/>
  </si>
  <si>
    <t>Forecast by Model</t>
    <phoneticPr fontId="7" type="noConversion"/>
  </si>
  <si>
    <t>+ 1.5 * Variance</t>
    <phoneticPr fontId="7" type="noConversion"/>
  </si>
  <si>
    <t>+ Variance</t>
    <phoneticPr fontId="7" type="noConversion"/>
  </si>
  <si>
    <t>+ 3 * Variance</t>
    <phoneticPr fontId="7" type="noConversion"/>
  </si>
  <si>
    <t>- Variance</t>
    <phoneticPr fontId="7" type="noConversion"/>
  </si>
  <si>
    <t>- 2 * Variance</t>
    <phoneticPr fontId="7" type="noConversion"/>
  </si>
  <si>
    <t>1-Revenues</t>
    <phoneticPr fontId="7" type="noConversion"/>
  </si>
  <si>
    <t>2-Expenses</t>
    <phoneticPr fontId="7" type="noConversion"/>
  </si>
  <si>
    <t>3-Operating Income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</si>
</sst>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 "/>
    <numFmt numFmtId="177" formatCode="0.00_);[Red]\(0.00\)"/>
    <numFmt numFmtId="178" formatCode="0.00_ "/>
  </numFmts>
  <fonts count="18"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7.5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7.5"/>
      <color rgb="FF000000"/>
      <name val="Times New Roman"/>
      <family val="1"/>
    </font>
    <font>
      <sz val="9"/>
      <name val="等线"/>
      <family val="2"/>
      <charset val="134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Inherit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0075C0"/>
      <name val="Arial"/>
      <family val="2"/>
    </font>
    <font>
      <sz val="11"/>
      <color theme="1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7"/>
      <color rgb="FF000000"/>
      <name val="Times New Roman"/>
      <family val="1"/>
    </font>
    <font>
      <b/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EB7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/>
      <top style="dotted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9" fontId="14" fillId="0" borderId="0" applyFon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4" fillId="2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  <xf numFmtId="4" fontId="4" fillId="2" borderId="0" xfId="0" applyNumberFormat="1" applyFont="1" applyFill="1" applyAlignment="1">
      <alignment horizontal="right" wrapText="1"/>
    </xf>
    <xf numFmtId="0" fontId="3" fillId="2" borderId="1" xfId="0" applyFont="1" applyFill="1" applyBorder="1" applyAlignment="1">
      <alignment horizontal="left" vertical="center" wrapText="1" indent="1"/>
    </xf>
    <xf numFmtId="4" fontId="4" fillId="2" borderId="1" xfId="0" applyNumberFormat="1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left" vertical="center" wrapText="1" indent="3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176" fontId="0" fillId="0" borderId="0" xfId="0" applyNumberFormat="1">
      <alignment vertical="center"/>
    </xf>
    <xf numFmtId="4" fontId="10" fillId="0" borderId="0" xfId="0" applyNumberFormat="1" applyFont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4" fontId="9" fillId="0" borderId="0" xfId="0" applyNumberFormat="1" applyFont="1" applyAlignment="1">
      <alignment vertical="center" wrapText="1"/>
    </xf>
    <xf numFmtId="0" fontId="9" fillId="0" borderId="2" xfId="0" applyFont="1" applyBorder="1" applyAlignment="1">
      <alignment vertical="center" wrapText="1"/>
    </xf>
    <xf numFmtId="4" fontId="8" fillId="0" borderId="5" xfId="0" applyNumberFormat="1" applyFont="1" applyBorder="1" applyAlignment="1">
      <alignment vertical="center" wrapText="1"/>
    </xf>
    <xf numFmtId="4" fontId="8" fillId="0" borderId="2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1" fillId="0" borderId="5" xfId="0" applyFont="1" applyBorder="1" applyAlignment="1">
      <alignment vertical="top" wrapText="1"/>
    </xf>
    <xf numFmtId="0" fontId="12" fillId="0" borderId="4" xfId="0" applyFont="1" applyBorder="1" applyAlignment="1">
      <alignment vertical="top" wrapText="1"/>
    </xf>
    <xf numFmtId="0" fontId="13" fillId="0" borderId="4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3" fillId="0" borderId="0" xfId="0" applyFont="1" applyAlignment="1">
      <alignment wrapText="1"/>
    </xf>
    <xf numFmtId="3" fontId="13" fillId="0" borderId="0" xfId="0" applyNumberFormat="1" applyFont="1" applyAlignment="1">
      <alignment wrapText="1"/>
    </xf>
    <xf numFmtId="3" fontId="13" fillId="0" borderId="4" xfId="0" applyNumberFormat="1" applyFont="1" applyBorder="1" applyAlignment="1">
      <alignment wrapText="1"/>
    </xf>
    <xf numFmtId="3" fontId="13" fillId="0" borderId="5" xfId="0" applyNumberFormat="1" applyFont="1" applyBorder="1" applyAlignment="1">
      <alignment wrapText="1"/>
    </xf>
    <xf numFmtId="3" fontId="13" fillId="0" borderId="6" xfId="0" applyNumberFormat="1" applyFont="1" applyBorder="1" applyAlignment="1">
      <alignment wrapText="1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left" vertical="center" wrapText="1" indent="3"/>
    </xf>
    <xf numFmtId="4" fontId="3" fillId="2" borderId="0" xfId="0" applyNumberFormat="1" applyFont="1" applyFill="1" applyAlignment="1">
      <alignment horizontal="right" wrapText="1"/>
    </xf>
    <xf numFmtId="0" fontId="3" fillId="2" borderId="0" xfId="0" applyFont="1" applyFill="1" applyAlignment="1">
      <alignment horizontal="right" wrapText="1"/>
    </xf>
    <xf numFmtId="0" fontId="1" fillId="0" borderId="0" xfId="0" applyFont="1">
      <alignment vertical="center"/>
    </xf>
    <xf numFmtId="0" fontId="1" fillId="3" borderId="0" xfId="0" applyFont="1" applyFill="1">
      <alignment vertical="center"/>
    </xf>
    <xf numFmtId="0" fontId="1" fillId="5" borderId="0" xfId="0" applyFont="1" applyFill="1">
      <alignment vertical="center"/>
    </xf>
    <xf numFmtId="2" fontId="1" fillId="0" borderId="0" xfId="0" applyNumberFormat="1" applyFont="1">
      <alignment vertical="center"/>
    </xf>
    <xf numFmtId="10" fontId="1" fillId="0" borderId="0" xfId="1" applyNumberFormat="1" applyFont="1">
      <alignment vertical="center"/>
    </xf>
    <xf numFmtId="2" fontId="1" fillId="4" borderId="0" xfId="0" applyNumberFormat="1" applyFont="1" applyFill="1">
      <alignment vertical="center"/>
    </xf>
    <xf numFmtId="10" fontId="1" fillId="4" borderId="0" xfId="1" applyNumberFormat="1" applyFont="1" applyFill="1">
      <alignment vertical="center"/>
    </xf>
    <xf numFmtId="0" fontId="1" fillId="4" borderId="0" xfId="0" applyFont="1" applyFill="1">
      <alignment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177" fontId="1" fillId="0" borderId="0" xfId="0" applyNumberFormat="1" applyFont="1">
      <alignment vertical="center"/>
    </xf>
    <xf numFmtId="177" fontId="1" fillId="3" borderId="0" xfId="0" applyNumberFormat="1" applyFont="1" applyFill="1">
      <alignment vertical="center"/>
    </xf>
    <xf numFmtId="10" fontId="1" fillId="0" borderId="0" xfId="0" applyNumberFormat="1" applyFont="1">
      <alignment vertical="center"/>
    </xf>
    <xf numFmtId="178" fontId="1" fillId="0" borderId="0" xfId="0" applyNumberFormat="1" applyFont="1">
      <alignment vertical="center"/>
    </xf>
    <xf numFmtId="178" fontId="1" fillId="5" borderId="0" xfId="0" applyNumberFormat="1" applyFont="1" applyFill="1">
      <alignment vertical="center"/>
    </xf>
    <xf numFmtId="178" fontId="15" fillId="4" borderId="0" xfId="0" applyNumberFormat="1" applyFont="1" applyFill="1">
      <alignment vertical="center"/>
    </xf>
    <xf numFmtId="178" fontId="1" fillId="4" borderId="0" xfId="0" applyNumberFormat="1" applyFont="1" applyFill="1">
      <alignment vertical="center"/>
    </xf>
    <xf numFmtId="178" fontId="1" fillId="0" borderId="0" xfId="1" applyNumberFormat="1" applyFont="1" applyFill="1">
      <alignment vertical="center"/>
    </xf>
    <xf numFmtId="178" fontId="1" fillId="3" borderId="0" xfId="0" applyNumberFormat="1" applyFont="1" applyFill="1">
      <alignment vertical="center"/>
    </xf>
    <xf numFmtId="0" fontId="15" fillId="6" borderId="0" xfId="0" applyFont="1" applyFill="1" applyAlignment="1">
      <alignment horizontal="center" vertical="center" wrapText="1"/>
    </xf>
    <xf numFmtId="0" fontId="1" fillId="6" borderId="0" xfId="0" applyFont="1" applyFill="1">
      <alignment vertical="center"/>
    </xf>
    <xf numFmtId="0" fontId="0" fillId="6" borderId="0" xfId="0" applyFill="1">
      <alignment vertical="center"/>
    </xf>
    <xf numFmtId="4" fontId="1" fillId="2" borderId="0" xfId="0" applyNumberFormat="1" applyFont="1" applyFill="1" applyAlignment="1">
      <alignment wrapText="1"/>
    </xf>
    <xf numFmtId="0" fontId="17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4" fontId="0" fillId="0" borderId="0" xfId="0" applyNumberFormat="1">
      <alignment vertical="center"/>
    </xf>
  </cellXfs>
  <cellStyles count="2">
    <cellStyle name="常规" xfId="0" builtinId="0"/>
    <cellStyle name="百分比" xfId="1" builtinId="5"/>
  </cellStyles>
  <dxfs count="0"/>
  <tableStyles count="0" defaultTableStyle="TableStyleMedium2" defaultPivotStyle="PivotStyleLight16"/>
  <colors>
    <mruColors>
      <color rgb="FFFFE07D"/>
      <color rgb="FFFFEE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Revenue Estimates</a:t>
            </a:r>
            <a:r>
              <a:rPr lang="en-US" altLang="zh-CN" baseline="0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 Revenue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RevenueModel!$B$16:$B$67</c:f>
              <c:strCache>
                <c:ptCount val="52"/>
                <c:pt idx="0">
                  <c:v>2010Q1</c:v>
                </c:pt>
                <c:pt idx="1">
                  <c:v>2010Q2</c:v>
                </c:pt>
                <c:pt idx="2">
                  <c:v>2010Q3</c:v>
                </c:pt>
                <c:pt idx="3">
                  <c:v>2010Q4</c:v>
                </c:pt>
                <c:pt idx="4">
                  <c:v>2011Q1</c:v>
                </c:pt>
                <c:pt idx="5">
                  <c:v>2011Q2</c:v>
                </c:pt>
                <c:pt idx="6">
                  <c:v>2011Q3</c:v>
                </c:pt>
                <c:pt idx="7">
                  <c:v>2011Q4</c:v>
                </c:pt>
                <c:pt idx="8">
                  <c:v>2012Q1</c:v>
                </c:pt>
                <c:pt idx="9">
                  <c:v>2012Q2</c:v>
                </c:pt>
                <c:pt idx="10">
                  <c:v>2012Q3</c:v>
                </c:pt>
                <c:pt idx="11">
                  <c:v>2012Q4</c:v>
                </c:pt>
                <c:pt idx="12">
                  <c:v>2013Q1</c:v>
                </c:pt>
                <c:pt idx="13">
                  <c:v>2013Q2</c:v>
                </c:pt>
                <c:pt idx="14">
                  <c:v>2013Q3</c:v>
                </c:pt>
                <c:pt idx="15">
                  <c:v>2013Q4</c:v>
                </c:pt>
                <c:pt idx="16">
                  <c:v>2014Q1</c:v>
                </c:pt>
                <c:pt idx="17">
                  <c:v>2014Q2</c:v>
                </c:pt>
                <c:pt idx="18">
                  <c:v>2014Q3</c:v>
                </c:pt>
                <c:pt idx="19">
                  <c:v>2014Q4</c:v>
                </c:pt>
                <c:pt idx="20">
                  <c:v>2015Q1</c:v>
                </c:pt>
                <c:pt idx="21">
                  <c:v>2015Q2</c:v>
                </c:pt>
                <c:pt idx="22">
                  <c:v>2015Q3</c:v>
                </c:pt>
                <c:pt idx="23">
                  <c:v>2015Q4</c:v>
                </c:pt>
                <c:pt idx="24">
                  <c:v>2016Q1</c:v>
                </c:pt>
                <c:pt idx="25">
                  <c:v>2016Q2</c:v>
                </c:pt>
                <c:pt idx="26">
                  <c:v>2016Q3</c:v>
                </c:pt>
                <c:pt idx="27">
                  <c:v>2016Q4</c:v>
                </c:pt>
                <c:pt idx="28">
                  <c:v>2017Q1</c:v>
                </c:pt>
                <c:pt idx="29">
                  <c:v>2017Q2</c:v>
                </c:pt>
                <c:pt idx="30">
                  <c:v>2017Q3</c:v>
                </c:pt>
                <c:pt idx="31">
                  <c:v>2017Q4</c:v>
                </c:pt>
                <c:pt idx="32">
                  <c:v>2018Q1</c:v>
                </c:pt>
                <c:pt idx="33">
                  <c:v>2018Q2</c:v>
                </c:pt>
                <c:pt idx="34">
                  <c:v>2018Q3</c:v>
                </c:pt>
                <c:pt idx="35">
                  <c:v>2018Q4</c:v>
                </c:pt>
                <c:pt idx="36">
                  <c:v>2019Q1</c:v>
                </c:pt>
                <c:pt idx="37">
                  <c:v>2019Q2</c:v>
                </c:pt>
                <c:pt idx="38">
                  <c:v>2019Q3</c:v>
                </c:pt>
                <c:pt idx="39">
                  <c:v>2019Q4</c:v>
                </c:pt>
                <c:pt idx="40">
                  <c:v>2020Q1</c:v>
                </c:pt>
                <c:pt idx="41">
                  <c:v>2020Q2</c:v>
                </c:pt>
                <c:pt idx="42">
                  <c:v>2020Q3</c:v>
                </c:pt>
                <c:pt idx="43">
                  <c:v>2020Q4</c:v>
                </c:pt>
                <c:pt idx="44">
                  <c:v>2021Q1</c:v>
                </c:pt>
                <c:pt idx="45">
                  <c:v>2021Q2</c:v>
                </c:pt>
                <c:pt idx="46">
                  <c:v>2021Q3</c:v>
                </c:pt>
                <c:pt idx="47">
                  <c:v>2021Q4</c:v>
                </c:pt>
                <c:pt idx="48">
                  <c:v>2022Q1</c:v>
                </c:pt>
                <c:pt idx="49">
                  <c:v>2022Q2</c:v>
                </c:pt>
                <c:pt idx="50">
                  <c:v>2022Q3</c:v>
                </c:pt>
                <c:pt idx="51">
                  <c:v>2022Q4</c:v>
                </c:pt>
              </c:strCache>
            </c:strRef>
          </c:cat>
          <c:val>
            <c:numRef>
              <c:f>RevenueModel!$C$16:$C$67</c:f>
              <c:numCache>
                <c:formatCode>0.00_ </c:formatCode>
                <c:ptCount val="52"/>
                <c:pt idx="0">
                  <c:v>5610.1</c:v>
                </c:pt>
                <c:pt idx="1">
                  <c:v>5945.5</c:v>
                </c:pt>
                <c:pt idx="2">
                  <c:v>6304.9</c:v>
                </c:pt>
                <c:pt idx="3">
                  <c:v>6214.0999999999985</c:v>
                </c:pt>
                <c:pt idx="4">
                  <c:v>6111.6</c:v>
                </c:pt>
                <c:pt idx="5">
                  <c:v>6905.4</c:v>
                </c:pt>
                <c:pt idx="6">
                  <c:v>7166.3</c:v>
                </c:pt>
                <c:pt idx="7">
                  <c:v>6822.7000000000007</c:v>
                </c:pt>
                <c:pt idx="8">
                  <c:v>6546.6</c:v>
                </c:pt>
                <c:pt idx="9">
                  <c:v>6915.9</c:v>
                </c:pt>
                <c:pt idx="10">
                  <c:v>7152.4</c:v>
                </c:pt>
                <c:pt idx="11">
                  <c:v>6952.0999999999985</c:v>
                </c:pt>
                <c:pt idx="12">
                  <c:v>6605.3</c:v>
                </c:pt>
                <c:pt idx="13">
                  <c:v>7083.8</c:v>
                </c:pt>
                <c:pt idx="14">
                  <c:v>7323.4</c:v>
                </c:pt>
                <c:pt idx="15">
                  <c:v>7093.2000000000007</c:v>
                </c:pt>
                <c:pt idx="16">
                  <c:v>6700.3</c:v>
                </c:pt>
                <c:pt idx="17">
                  <c:v>7181.7</c:v>
                </c:pt>
                <c:pt idx="18">
                  <c:v>6987.1</c:v>
                </c:pt>
                <c:pt idx="19">
                  <c:v>6572.2000000000007</c:v>
                </c:pt>
                <c:pt idx="20">
                  <c:v>5958.9</c:v>
                </c:pt>
                <c:pt idx="21">
                  <c:v>6497.7</c:v>
                </c:pt>
                <c:pt idx="22">
                  <c:v>6615.1</c:v>
                </c:pt>
                <c:pt idx="23">
                  <c:v>6341.3000000000029</c:v>
                </c:pt>
                <c:pt idx="24">
                  <c:v>5903.9</c:v>
                </c:pt>
                <c:pt idx="25">
                  <c:v>6265</c:v>
                </c:pt>
                <c:pt idx="26">
                  <c:v>6424.1</c:v>
                </c:pt>
                <c:pt idx="27">
                  <c:v>6028.9000000000015</c:v>
                </c:pt>
                <c:pt idx="28">
                  <c:v>5675.9</c:v>
                </c:pt>
                <c:pt idx="29">
                  <c:v>6049.7</c:v>
                </c:pt>
                <c:pt idx="30">
                  <c:v>5754.6</c:v>
                </c:pt>
                <c:pt idx="31">
                  <c:v>5340.2000000000044</c:v>
                </c:pt>
                <c:pt idx="32">
                  <c:v>5138.8999999999996</c:v>
                </c:pt>
                <c:pt idx="33">
                  <c:v>5353.9</c:v>
                </c:pt>
                <c:pt idx="34">
                  <c:v>5369.4</c:v>
                </c:pt>
                <c:pt idx="35">
                  <c:v>5163.0000000000018</c:v>
                </c:pt>
                <c:pt idx="36">
                  <c:v>4955.6000000000004</c:v>
                </c:pt>
                <c:pt idx="37">
                  <c:v>5341.3</c:v>
                </c:pt>
                <c:pt idx="38">
                  <c:v>5430.6</c:v>
                </c:pt>
                <c:pt idx="39">
                  <c:v>5348.9999999999982</c:v>
                </c:pt>
                <c:pt idx="40">
                  <c:v>4714.3999999999996</c:v>
                </c:pt>
                <c:pt idx="41">
                  <c:v>3761.5</c:v>
                </c:pt>
                <c:pt idx="42">
                  <c:v>5418.1</c:v>
                </c:pt>
                <c:pt idx="43">
                  <c:v>5314</c:v>
                </c:pt>
                <c:pt idx="44">
                  <c:v>5124.6000000000004</c:v>
                </c:pt>
                <c:pt idx="45">
                  <c:v>5887.9</c:v>
                </c:pt>
                <c:pt idx="46">
                  <c:v>6201.3</c:v>
                </c:pt>
                <c:pt idx="47">
                  <c:v>6009.2000000000007</c:v>
                </c:pt>
                <c:pt idx="48">
                  <c:v>5665.6</c:v>
                </c:pt>
                <c:pt idx="49">
                  <c:v>5718.4</c:v>
                </c:pt>
                <c:pt idx="50">
                  <c:v>5872.1</c:v>
                </c:pt>
                <c:pt idx="51">
                  <c:v>5966.9000000000015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B1-42AA-B62E-3F9F084AD922}"/>
            </c:ext>
          </c:extLst>
        </c:ser>
        <c:ser>
          <c:idx val="5"/>
          <c:order val="1"/>
          <c:tx>
            <c:v>Holt-Winters ES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RevenueModel!$B$16:$B$67</c:f>
              <c:strCache>
                <c:ptCount val="52"/>
                <c:pt idx="0">
                  <c:v>2010Q1</c:v>
                </c:pt>
                <c:pt idx="1">
                  <c:v>2010Q2</c:v>
                </c:pt>
                <c:pt idx="2">
                  <c:v>2010Q3</c:v>
                </c:pt>
                <c:pt idx="3">
                  <c:v>2010Q4</c:v>
                </c:pt>
                <c:pt idx="4">
                  <c:v>2011Q1</c:v>
                </c:pt>
                <c:pt idx="5">
                  <c:v>2011Q2</c:v>
                </c:pt>
                <c:pt idx="6">
                  <c:v>2011Q3</c:v>
                </c:pt>
                <c:pt idx="7">
                  <c:v>2011Q4</c:v>
                </c:pt>
                <c:pt idx="8">
                  <c:v>2012Q1</c:v>
                </c:pt>
                <c:pt idx="9">
                  <c:v>2012Q2</c:v>
                </c:pt>
                <c:pt idx="10">
                  <c:v>2012Q3</c:v>
                </c:pt>
                <c:pt idx="11">
                  <c:v>2012Q4</c:v>
                </c:pt>
                <c:pt idx="12">
                  <c:v>2013Q1</c:v>
                </c:pt>
                <c:pt idx="13">
                  <c:v>2013Q2</c:v>
                </c:pt>
                <c:pt idx="14">
                  <c:v>2013Q3</c:v>
                </c:pt>
                <c:pt idx="15">
                  <c:v>2013Q4</c:v>
                </c:pt>
                <c:pt idx="16">
                  <c:v>2014Q1</c:v>
                </c:pt>
                <c:pt idx="17">
                  <c:v>2014Q2</c:v>
                </c:pt>
                <c:pt idx="18">
                  <c:v>2014Q3</c:v>
                </c:pt>
                <c:pt idx="19">
                  <c:v>2014Q4</c:v>
                </c:pt>
                <c:pt idx="20">
                  <c:v>2015Q1</c:v>
                </c:pt>
                <c:pt idx="21">
                  <c:v>2015Q2</c:v>
                </c:pt>
                <c:pt idx="22">
                  <c:v>2015Q3</c:v>
                </c:pt>
                <c:pt idx="23">
                  <c:v>2015Q4</c:v>
                </c:pt>
                <c:pt idx="24">
                  <c:v>2016Q1</c:v>
                </c:pt>
                <c:pt idx="25">
                  <c:v>2016Q2</c:v>
                </c:pt>
                <c:pt idx="26">
                  <c:v>2016Q3</c:v>
                </c:pt>
                <c:pt idx="27">
                  <c:v>2016Q4</c:v>
                </c:pt>
                <c:pt idx="28">
                  <c:v>2017Q1</c:v>
                </c:pt>
                <c:pt idx="29">
                  <c:v>2017Q2</c:v>
                </c:pt>
                <c:pt idx="30">
                  <c:v>2017Q3</c:v>
                </c:pt>
                <c:pt idx="31">
                  <c:v>2017Q4</c:v>
                </c:pt>
                <c:pt idx="32">
                  <c:v>2018Q1</c:v>
                </c:pt>
                <c:pt idx="33">
                  <c:v>2018Q2</c:v>
                </c:pt>
                <c:pt idx="34">
                  <c:v>2018Q3</c:v>
                </c:pt>
                <c:pt idx="35">
                  <c:v>2018Q4</c:v>
                </c:pt>
                <c:pt idx="36">
                  <c:v>2019Q1</c:v>
                </c:pt>
                <c:pt idx="37">
                  <c:v>2019Q2</c:v>
                </c:pt>
                <c:pt idx="38">
                  <c:v>2019Q3</c:v>
                </c:pt>
                <c:pt idx="39">
                  <c:v>2019Q4</c:v>
                </c:pt>
                <c:pt idx="40">
                  <c:v>2020Q1</c:v>
                </c:pt>
                <c:pt idx="41">
                  <c:v>2020Q2</c:v>
                </c:pt>
                <c:pt idx="42">
                  <c:v>2020Q3</c:v>
                </c:pt>
                <c:pt idx="43">
                  <c:v>2020Q4</c:v>
                </c:pt>
                <c:pt idx="44">
                  <c:v>2021Q1</c:v>
                </c:pt>
                <c:pt idx="45">
                  <c:v>2021Q2</c:v>
                </c:pt>
                <c:pt idx="46">
                  <c:v>2021Q3</c:v>
                </c:pt>
                <c:pt idx="47">
                  <c:v>2021Q4</c:v>
                </c:pt>
                <c:pt idx="48">
                  <c:v>2022Q1</c:v>
                </c:pt>
                <c:pt idx="49">
                  <c:v>2022Q2</c:v>
                </c:pt>
                <c:pt idx="50">
                  <c:v>2022Q3</c:v>
                </c:pt>
                <c:pt idx="51">
                  <c:v>2022Q4</c:v>
                </c:pt>
              </c:strCache>
            </c:strRef>
          </c:cat>
          <c:val>
            <c:numRef>
              <c:f>RevenueModel!$AH$16:$AH$67</c:f>
              <c:numCache>
                <c:formatCode>0.00_ </c:formatCode>
                <c:ptCount val="52"/>
                <c:pt idx="0">
                  <c:v>5077.3999999999996</c:v>
                </c:pt>
                <c:pt idx="1">
                  <c:v>6001.9292392846637</c:v>
                </c:pt>
                <c:pt idx="2">
                  <c:v>6390.3485740387823</c:v>
                </c:pt>
                <c:pt idx="3">
                  <c:v>6262.3433097182806</c:v>
                </c:pt>
                <c:pt idx="4">
                  <c:v>5400.7223401825331</c:v>
                </c:pt>
                <c:pt idx="5">
                  <c:v>6345.7189855208126</c:v>
                </c:pt>
                <c:pt idx="6">
                  <c:v>7147.7915010161332</c:v>
                </c:pt>
                <c:pt idx="7">
                  <c:v>7080.0492252925669</c:v>
                </c:pt>
                <c:pt idx="8">
                  <c:v>6153.1921433365733</c:v>
                </c:pt>
                <c:pt idx="9">
                  <c:v>6907.4361792243471</c:v>
                </c:pt>
                <c:pt idx="10">
                  <c:v>7280.1641444713505</c:v>
                </c:pt>
                <c:pt idx="11">
                  <c:v>7069.0169989753058</c:v>
                </c:pt>
                <c:pt idx="12">
                  <c:v>6339.0149467324436</c:v>
                </c:pt>
                <c:pt idx="13">
                  <c:v>6944.1259714514354</c:v>
                </c:pt>
                <c:pt idx="14">
                  <c:v>7374.1076976901677</c:v>
                </c:pt>
                <c:pt idx="15">
                  <c:v>7207.9354175568596</c:v>
                </c:pt>
                <c:pt idx="16">
                  <c:v>6539.1837362774313</c:v>
                </c:pt>
                <c:pt idx="17">
                  <c:v>7061.7128957932528</c:v>
                </c:pt>
                <c:pt idx="18">
                  <c:v>7446.0792608833926</c:v>
                </c:pt>
                <c:pt idx="19">
                  <c:v>7026.0244094624641</c:v>
                </c:pt>
                <c:pt idx="20">
                  <c:v>6235.5743519959988</c:v>
                </c:pt>
                <c:pt idx="21">
                  <c:v>6450.2875155407119</c:v>
                </c:pt>
                <c:pt idx="22">
                  <c:v>6655.989879471218</c:v>
                </c:pt>
                <c:pt idx="23">
                  <c:v>6493.0846284886275</c:v>
                </c:pt>
                <c:pt idx="24">
                  <c:v>5935.8194435762525</c:v>
                </c:pt>
                <c:pt idx="25">
                  <c:v>6353.0910088467845</c:v>
                </c:pt>
                <c:pt idx="26">
                  <c:v>6455.7424153300726</c:v>
                </c:pt>
                <c:pt idx="27">
                  <c:v>6280.7940712235277</c:v>
                </c:pt>
                <c:pt idx="28">
                  <c:v>5703.86932417549</c:v>
                </c:pt>
                <c:pt idx="29">
                  <c:v>6096.308792463381</c:v>
                </c:pt>
                <c:pt idx="30">
                  <c:v>6229.128748708119</c:v>
                </c:pt>
                <c:pt idx="31">
                  <c:v>5759.8615410677994</c:v>
                </c:pt>
                <c:pt idx="32">
                  <c:v>5162.2340472168153</c:v>
                </c:pt>
                <c:pt idx="33">
                  <c:v>5515.6941540669732</c:v>
                </c:pt>
                <c:pt idx="34">
                  <c:v>5483.7676228143901</c:v>
                </c:pt>
                <c:pt idx="35">
                  <c:v>5250.4237487568271</c:v>
                </c:pt>
                <c:pt idx="36">
                  <c:v>4940.5165969600857</c:v>
                </c:pt>
                <c:pt idx="37">
                  <c:v>5276.5129781484393</c:v>
                </c:pt>
                <c:pt idx="38">
                  <c:v>5388.2489067020515</c:v>
                </c:pt>
                <c:pt idx="39">
                  <c:v>5253.2191945463501</c:v>
                </c:pt>
                <c:pt idx="40">
                  <c:v>5067.097624151299</c:v>
                </c:pt>
                <c:pt idx="41">
                  <c:v>5185.9601100607952</c:v>
                </c:pt>
                <c:pt idx="42">
                  <c:v>4388.8362988011368</c:v>
                </c:pt>
                <c:pt idx="43">
                  <c:v>4866.476465524087</c:v>
                </c:pt>
                <c:pt idx="44">
                  <c:v>4812.4770344506605</c:v>
                </c:pt>
                <c:pt idx="45">
                  <c:v>5067.9050439739958</c:v>
                </c:pt>
                <c:pt idx="46">
                  <c:v>6259.070226322875</c:v>
                </c:pt>
                <c:pt idx="47">
                  <c:v>5917.3243449800921</c:v>
                </c:pt>
                <c:pt idx="48">
                  <c:v>5571.238941500791</c:v>
                </c:pt>
                <c:pt idx="49">
                  <c:v>5798.6669460533776</c:v>
                </c:pt>
                <c:pt idx="50">
                  <c:v>6282.0368019894377</c:v>
                </c:pt>
                <c:pt idx="51">
                  <c:v>5766.4406335404783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B1-42AA-B62E-3F9F084AD922}"/>
            </c:ext>
          </c:extLst>
        </c:ser>
        <c:ser>
          <c:idx val="1"/>
          <c:order val="2"/>
          <c:tx>
            <c:v>ARIMA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RevenueModel!$B$16:$B$67</c:f>
              <c:strCache>
                <c:ptCount val="52"/>
                <c:pt idx="0">
                  <c:v>2010Q1</c:v>
                </c:pt>
                <c:pt idx="1">
                  <c:v>2010Q2</c:v>
                </c:pt>
                <c:pt idx="2">
                  <c:v>2010Q3</c:v>
                </c:pt>
                <c:pt idx="3">
                  <c:v>2010Q4</c:v>
                </c:pt>
                <c:pt idx="4">
                  <c:v>2011Q1</c:v>
                </c:pt>
                <c:pt idx="5">
                  <c:v>2011Q2</c:v>
                </c:pt>
                <c:pt idx="6">
                  <c:v>2011Q3</c:v>
                </c:pt>
                <c:pt idx="7">
                  <c:v>2011Q4</c:v>
                </c:pt>
                <c:pt idx="8">
                  <c:v>2012Q1</c:v>
                </c:pt>
                <c:pt idx="9">
                  <c:v>2012Q2</c:v>
                </c:pt>
                <c:pt idx="10">
                  <c:v>2012Q3</c:v>
                </c:pt>
                <c:pt idx="11">
                  <c:v>2012Q4</c:v>
                </c:pt>
                <c:pt idx="12">
                  <c:v>2013Q1</c:v>
                </c:pt>
                <c:pt idx="13">
                  <c:v>2013Q2</c:v>
                </c:pt>
                <c:pt idx="14">
                  <c:v>2013Q3</c:v>
                </c:pt>
                <c:pt idx="15">
                  <c:v>2013Q4</c:v>
                </c:pt>
                <c:pt idx="16">
                  <c:v>2014Q1</c:v>
                </c:pt>
                <c:pt idx="17">
                  <c:v>2014Q2</c:v>
                </c:pt>
                <c:pt idx="18">
                  <c:v>2014Q3</c:v>
                </c:pt>
                <c:pt idx="19">
                  <c:v>2014Q4</c:v>
                </c:pt>
                <c:pt idx="20">
                  <c:v>2015Q1</c:v>
                </c:pt>
                <c:pt idx="21">
                  <c:v>2015Q2</c:v>
                </c:pt>
                <c:pt idx="22">
                  <c:v>2015Q3</c:v>
                </c:pt>
                <c:pt idx="23">
                  <c:v>2015Q4</c:v>
                </c:pt>
                <c:pt idx="24">
                  <c:v>2016Q1</c:v>
                </c:pt>
                <c:pt idx="25">
                  <c:v>2016Q2</c:v>
                </c:pt>
                <c:pt idx="26">
                  <c:v>2016Q3</c:v>
                </c:pt>
                <c:pt idx="27">
                  <c:v>2016Q4</c:v>
                </c:pt>
                <c:pt idx="28">
                  <c:v>2017Q1</c:v>
                </c:pt>
                <c:pt idx="29">
                  <c:v>2017Q2</c:v>
                </c:pt>
                <c:pt idx="30">
                  <c:v>2017Q3</c:v>
                </c:pt>
                <c:pt idx="31">
                  <c:v>2017Q4</c:v>
                </c:pt>
                <c:pt idx="32">
                  <c:v>2018Q1</c:v>
                </c:pt>
                <c:pt idx="33">
                  <c:v>2018Q2</c:v>
                </c:pt>
                <c:pt idx="34">
                  <c:v>2018Q3</c:v>
                </c:pt>
                <c:pt idx="35">
                  <c:v>2018Q4</c:v>
                </c:pt>
                <c:pt idx="36">
                  <c:v>2019Q1</c:v>
                </c:pt>
                <c:pt idx="37">
                  <c:v>2019Q2</c:v>
                </c:pt>
                <c:pt idx="38">
                  <c:v>2019Q3</c:v>
                </c:pt>
                <c:pt idx="39">
                  <c:v>2019Q4</c:v>
                </c:pt>
                <c:pt idx="40">
                  <c:v>2020Q1</c:v>
                </c:pt>
                <c:pt idx="41">
                  <c:v>2020Q2</c:v>
                </c:pt>
                <c:pt idx="42">
                  <c:v>2020Q3</c:v>
                </c:pt>
                <c:pt idx="43">
                  <c:v>2020Q4</c:v>
                </c:pt>
                <c:pt idx="44">
                  <c:v>2021Q1</c:v>
                </c:pt>
                <c:pt idx="45">
                  <c:v>2021Q2</c:v>
                </c:pt>
                <c:pt idx="46">
                  <c:v>2021Q3</c:v>
                </c:pt>
                <c:pt idx="47">
                  <c:v>2021Q4</c:v>
                </c:pt>
                <c:pt idx="48">
                  <c:v>2022Q1</c:v>
                </c:pt>
                <c:pt idx="49">
                  <c:v>2022Q2</c:v>
                </c:pt>
                <c:pt idx="50">
                  <c:v>2022Q3</c:v>
                </c:pt>
                <c:pt idx="51">
                  <c:v>2022Q4</c:v>
                </c:pt>
              </c:strCache>
            </c:strRef>
          </c:cat>
          <c:val>
            <c:numRef>
              <c:f>RevenueModel!$AM$16:$AM$67</c:f>
              <c:numCache>
                <c:formatCode>General</c:formatCode>
                <c:ptCount val="52"/>
                <c:pt idx="0">
                  <c:v>5894.60768804696</c:v>
                </c:pt>
                <c:pt idx="1">
                  <c:v>5918.3522287321603</c:v>
                </c:pt>
                <c:pt idx="2">
                  <c:v>6330.2626472682196</c:v>
                </c:pt>
                <c:pt idx="3">
                  <c:v>6237.8081502002497</c:v>
                </c:pt>
                <c:pt idx="4">
                  <c:v>6017.5276754242304</c:v>
                </c:pt>
                <c:pt idx="5">
                  <c:v>6376.5264721946796</c:v>
                </c:pt>
                <c:pt idx="6">
                  <c:v>7279.2512507399897</c:v>
                </c:pt>
                <c:pt idx="7">
                  <c:v>7122.7128949827202</c:v>
                </c:pt>
                <c:pt idx="8">
                  <c:v>6712.8575041595896</c:v>
                </c:pt>
                <c:pt idx="9">
                  <c:v>6961.1540583749702</c:v>
                </c:pt>
                <c:pt idx="10">
                  <c:v>7372.9762857230098</c:v>
                </c:pt>
                <c:pt idx="11">
                  <c:v>7047.6662443963496</c:v>
                </c:pt>
                <c:pt idx="12">
                  <c:v>6763.4826882775997</c:v>
                </c:pt>
                <c:pt idx="13">
                  <c:v>6989.2647267335396</c:v>
                </c:pt>
                <c:pt idx="14">
                  <c:v>7501.9651255152103</c:v>
                </c:pt>
                <c:pt idx="15">
                  <c:v>7202.6332410311697</c:v>
                </c:pt>
                <c:pt idx="16">
                  <c:v>6879.1468977192599</c:v>
                </c:pt>
                <c:pt idx="17">
                  <c:v>7075.6809243526804</c:v>
                </c:pt>
                <c:pt idx="18">
                  <c:v>7595.5462054745303</c:v>
                </c:pt>
                <c:pt idx="19">
                  <c:v>6951.8367008539499</c:v>
                </c:pt>
                <c:pt idx="20">
                  <c:v>6399.4294313951004</c:v>
                </c:pt>
                <c:pt idx="21">
                  <c:v>6308.3555250159197</c:v>
                </c:pt>
                <c:pt idx="22">
                  <c:v>6787.3023590691</c:v>
                </c:pt>
                <c:pt idx="23">
                  <c:v>6457.6937140603304</c:v>
                </c:pt>
                <c:pt idx="24">
                  <c:v>6104.37956019803</c:v>
                </c:pt>
                <c:pt idx="25">
                  <c:v>6206.2656122075396</c:v>
                </c:pt>
                <c:pt idx="26">
                  <c:v>6581.57158597138</c:v>
                </c:pt>
                <c:pt idx="27">
                  <c:v>6257.25654680138</c:v>
                </c:pt>
                <c:pt idx="28">
                  <c:v>5807.7956937892704</c:v>
                </c:pt>
                <c:pt idx="29">
                  <c:v>5933.7863595811496</c:v>
                </c:pt>
                <c:pt idx="30">
                  <c:v>6338.94703209822</c:v>
                </c:pt>
                <c:pt idx="31">
                  <c:v>5694.1764412503398</c:v>
                </c:pt>
                <c:pt idx="32">
                  <c:v>5153.2761092102201</c:v>
                </c:pt>
                <c:pt idx="33">
                  <c:v>5321.3256492902701</c:v>
                </c:pt>
                <c:pt idx="34">
                  <c:v>5592.9846926407699</c:v>
                </c:pt>
                <c:pt idx="35">
                  <c:v>5238.1137900715003</c:v>
                </c:pt>
                <c:pt idx="36">
                  <c:v>4938.57298170582</c:v>
                </c:pt>
                <c:pt idx="37">
                  <c:v>5112.4261051269996</c:v>
                </c:pt>
                <c:pt idx="38">
                  <c:v>5523.6585070239798</c:v>
                </c:pt>
                <c:pt idx="39">
                  <c:v>5288.5266110721795</c:v>
                </c:pt>
                <c:pt idx="40">
                  <c:v>5093.7890006790103</c:v>
                </c:pt>
                <c:pt idx="41">
                  <c:v>4943.6627776815103</c:v>
                </c:pt>
                <c:pt idx="42">
                  <c:v>4143.4124395601402</c:v>
                </c:pt>
                <c:pt idx="43">
                  <c:v>4772.2094598834001</c:v>
                </c:pt>
                <c:pt idx="44">
                  <c:v>4947.7956855115699</c:v>
                </c:pt>
                <c:pt idx="45">
                  <c:v>5236.80724617128</c:v>
                </c:pt>
                <c:pt idx="46">
                  <c:v>6144.5742833618297</c:v>
                </c:pt>
                <c:pt idx="47">
                  <c:v>6083.46202030316</c:v>
                </c:pt>
                <c:pt idx="48">
                  <c:v>5649.1134789403995</c:v>
                </c:pt>
                <c:pt idx="49">
                  <c:v>5835.0671246066204</c:v>
                </c:pt>
                <c:pt idx="50">
                  <c:v>6158.4077548921196</c:v>
                </c:pt>
                <c:pt idx="51">
                  <c:v>5823.2904783169597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DB1-42AA-B62E-3F9F084AD922}"/>
            </c:ext>
          </c:extLst>
        </c:ser>
        <c:ser>
          <c:idx val="2"/>
          <c:order val="3"/>
          <c:tx>
            <c:v>MA4 Consecutive</c:v>
          </c:tx>
          <c:spPr>
            <a:ln w="19050" cap="rnd">
              <a:solidFill>
                <a:schemeClr val="tx2">
                  <a:lumMod val="90000"/>
                  <a:lumOff val="1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RevenueModel!$B$16:$B$67</c:f>
              <c:strCache>
                <c:ptCount val="52"/>
                <c:pt idx="0">
                  <c:v>2010Q1</c:v>
                </c:pt>
                <c:pt idx="1">
                  <c:v>2010Q2</c:v>
                </c:pt>
                <c:pt idx="2">
                  <c:v>2010Q3</c:v>
                </c:pt>
                <c:pt idx="3">
                  <c:v>2010Q4</c:v>
                </c:pt>
                <c:pt idx="4">
                  <c:v>2011Q1</c:v>
                </c:pt>
                <c:pt idx="5">
                  <c:v>2011Q2</c:v>
                </c:pt>
                <c:pt idx="6">
                  <c:v>2011Q3</c:v>
                </c:pt>
                <c:pt idx="7">
                  <c:v>2011Q4</c:v>
                </c:pt>
                <c:pt idx="8">
                  <c:v>2012Q1</c:v>
                </c:pt>
                <c:pt idx="9">
                  <c:v>2012Q2</c:v>
                </c:pt>
                <c:pt idx="10">
                  <c:v>2012Q3</c:v>
                </c:pt>
                <c:pt idx="11">
                  <c:v>2012Q4</c:v>
                </c:pt>
                <c:pt idx="12">
                  <c:v>2013Q1</c:v>
                </c:pt>
                <c:pt idx="13">
                  <c:v>2013Q2</c:v>
                </c:pt>
                <c:pt idx="14">
                  <c:v>2013Q3</c:v>
                </c:pt>
                <c:pt idx="15">
                  <c:v>2013Q4</c:v>
                </c:pt>
                <c:pt idx="16">
                  <c:v>2014Q1</c:v>
                </c:pt>
                <c:pt idx="17">
                  <c:v>2014Q2</c:v>
                </c:pt>
                <c:pt idx="18">
                  <c:v>2014Q3</c:v>
                </c:pt>
                <c:pt idx="19">
                  <c:v>2014Q4</c:v>
                </c:pt>
                <c:pt idx="20">
                  <c:v>2015Q1</c:v>
                </c:pt>
                <c:pt idx="21">
                  <c:v>2015Q2</c:v>
                </c:pt>
                <c:pt idx="22">
                  <c:v>2015Q3</c:v>
                </c:pt>
                <c:pt idx="23">
                  <c:v>2015Q4</c:v>
                </c:pt>
                <c:pt idx="24">
                  <c:v>2016Q1</c:v>
                </c:pt>
                <c:pt idx="25">
                  <c:v>2016Q2</c:v>
                </c:pt>
                <c:pt idx="26">
                  <c:v>2016Q3</c:v>
                </c:pt>
                <c:pt idx="27">
                  <c:v>2016Q4</c:v>
                </c:pt>
                <c:pt idx="28">
                  <c:v>2017Q1</c:v>
                </c:pt>
                <c:pt idx="29">
                  <c:v>2017Q2</c:v>
                </c:pt>
                <c:pt idx="30">
                  <c:v>2017Q3</c:v>
                </c:pt>
                <c:pt idx="31">
                  <c:v>2017Q4</c:v>
                </c:pt>
                <c:pt idx="32">
                  <c:v>2018Q1</c:v>
                </c:pt>
                <c:pt idx="33">
                  <c:v>2018Q2</c:v>
                </c:pt>
                <c:pt idx="34">
                  <c:v>2018Q3</c:v>
                </c:pt>
                <c:pt idx="35">
                  <c:v>2018Q4</c:v>
                </c:pt>
                <c:pt idx="36">
                  <c:v>2019Q1</c:v>
                </c:pt>
                <c:pt idx="37">
                  <c:v>2019Q2</c:v>
                </c:pt>
                <c:pt idx="38">
                  <c:v>2019Q3</c:v>
                </c:pt>
                <c:pt idx="39">
                  <c:v>2019Q4</c:v>
                </c:pt>
                <c:pt idx="40">
                  <c:v>2020Q1</c:v>
                </c:pt>
                <c:pt idx="41">
                  <c:v>2020Q2</c:v>
                </c:pt>
                <c:pt idx="42">
                  <c:v>2020Q3</c:v>
                </c:pt>
                <c:pt idx="43">
                  <c:v>2020Q4</c:v>
                </c:pt>
                <c:pt idx="44">
                  <c:v>2021Q1</c:v>
                </c:pt>
                <c:pt idx="45">
                  <c:v>2021Q2</c:v>
                </c:pt>
                <c:pt idx="46">
                  <c:v>2021Q3</c:v>
                </c:pt>
                <c:pt idx="47">
                  <c:v>2021Q4</c:v>
                </c:pt>
                <c:pt idx="48">
                  <c:v>2022Q1</c:v>
                </c:pt>
                <c:pt idx="49">
                  <c:v>2022Q2</c:v>
                </c:pt>
                <c:pt idx="50">
                  <c:v>2022Q3</c:v>
                </c:pt>
                <c:pt idx="51">
                  <c:v>2022Q4</c:v>
                </c:pt>
              </c:strCache>
            </c:strRef>
          </c:cat>
          <c:val>
            <c:numRef>
              <c:f>RevenueModel!$I$16:$I$67</c:f>
              <c:numCache>
                <c:formatCode>0.00_ </c:formatCode>
                <c:ptCount val="52"/>
                <c:pt idx="0">
                  <c:v>5686.1750000000002</c:v>
                </c:pt>
                <c:pt idx="1">
                  <c:v>5819.35</c:v>
                </c:pt>
                <c:pt idx="2">
                  <c:v>5893.9250000000011</c:v>
                </c:pt>
                <c:pt idx="3">
                  <c:v>5958.4750000000004</c:v>
                </c:pt>
                <c:pt idx="4">
                  <c:v>6018.65</c:v>
                </c:pt>
                <c:pt idx="5">
                  <c:v>6144.0249999999996</c:v>
                </c:pt>
                <c:pt idx="6">
                  <c:v>6384</c:v>
                </c:pt>
                <c:pt idx="7">
                  <c:v>6599.3499999999995</c:v>
                </c:pt>
                <c:pt idx="8">
                  <c:v>6751.5</c:v>
                </c:pt>
                <c:pt idx="9">
                  <c:v>6860.25</c:v>
                </c:pt>
                <c:pt idx="10">
                  <c:v>6862.875</c:v>
                </c:pt>
                <c:pt idx="11">
                  <c:v>6859.4</c:v>
                </c:pt>
                <c:pt idx="12">
                  <c:v>6891.75</c:v>
                </c:pt>
                <c:pt idx="13">
                  <c:v>6906.4249999999993</c:v>
                </c:pt>
                <c:pt idx="14">
                  <c:v>6948.4</c:v>
                </c:pt>
                <c:pt idx="15">
                  <c:v>6991.15</c:v>
                </c:pt>
                <c:pt idx="16">
                  <c:v>7026.4250000000002</c:v>
                </c:pt>
                <c:pt idx="17">
                  <c:v>7050.1750000000002</c:v>
                </c:pt>
                <c:pt idx="18">
                  <c:v>7074.6500000000005</c:v>
                </c:pt>
                <c:pt idx="19">
                  <c:v>6990.5750000000007</c:v>
                </c:pt>
                <c:pt idx="20">
                  <c:v>6860.3249999999998</c:v>
                </c:pt>
                <c:pt idx="21">
                  <c:v>6674.9750000000004</c:v>
                </c:pt>
                <c:pt idx="22">
                  <c:v>6503.9750000000004</c:v>
                </c:pt>
                <c:pt idx="23">
                  <c:v>6410.9750000000004</c:v>
                </c:pt>
                <c:pt idx="24">
                  <c:v>6353.25</c:v>
                </c:pt>
                <c:pt idx="25">
                  <c:v>6339.5</c:v>
                </c:pt>
                <c:pt idx="26">
                  <c:v>6281.3250000000007</c:v>
                </c:pt>
                <c:pt idx="27">
                  <c:v>6233.5750000000007</c:v>
                </c:pt>
                <c:pt idx="28">
                  <c:v>6155.4750000000004</c:v>
                </c:pt>
                <c:pt idx="29">
                  <c:v>6098.4750000000004</c:v>
                </c:pt>
                <c:pt idx="30">
                  <c:v>6044.6500000000005</c:v>
                </c:pt>
                <c:pt idx="31">
                  <c:v>5877.2749999999996</c:v>
                </c:pt>
                <c:pt idx="32">
                  <c:v>5705.1</c:v>
                </c:pt>
                <c:pt idx="33">
                  <c:v>5570.85</c:v>
                </c:pt>
                <c:pt idx="34">
                  <c:v>5396.9000000000015</c:v>
                </c:pt>
                <c:pt idx="35">
                  <c:v>5300.6</c:v>
                </c:pt>
                <c:pt idx="36">
                  <c:v>5256.3</c:v>
                </c:pt>
                <c:pt idx="37">
                  <c:v>5210.4750000000004</c:v>
                </c:pt>
                <c:pt idx="38">
                  <c:v>5207.3250000000007</c:v>
                </c:pt>
                <c:pt idx="39">
                  <c:v>5222.625</c:v>
                </c:pt>
                <c:pt idx="40">
                  <c:v>5269.125</c:v>
                </c:pt>
                <c:pt idx="41">
                  <c:v>5208.8249999999998</c:v>
                </c:pt>
                <c:pt idx="42">
                  <c:v>4813.875</c:v>
                </c:pt>
                <c:pt idx="43">
                  <c:v>4810.75</c:v>
                </c:pt>
                <c:pt idx="44">
                  <c:v>4802</c:v>
                </c:pt>
                <c:pt idx="45">
                  <c:v>4904.55</c:v>
                </c:pt>
                <c:pt idx="46">
                  <c:v>5436.15</c:v>
                </c:pt>
                <c:pt idx="47">
                  <c:v>5631.95</c:v>
                </c:pt>
                <c:pt idx="48">
                  <c:v>5805.75</c:v>
                </c:pt>
                <c:pt idx="49">
                  <c:v>5941</c:v>
                </c:pt>
                <c:pt idx="50">
                  <c:v>5898.625</c:v>
                </c:pt>
                <c:pt idx="51">
                  <c:v>5816.3250000000007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DB1-42AA-B62E-3F9F084AD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5295391"/>
        <c:axId val="685311711"/>
      </c:lineChart>
      <c:catAx>
        <c:axId val="68529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5311711"/>
        <c:crosses val="autoZero"/>
        <c:auto val="1"/>
        <c:lblAlgn val="ctr"/>
        <c:lblOffset val="100"/>
        <c:noMultiLvlLbl val="0"/>
      </c:catAx>
      <c:valAx>
        <c:axId val="685311711"/>
        <c:scaling>
          <c:orientation val="minMax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5295391"/>
        <c:crosses val="autoZero"/>
        <c:crossBetween val="between"/>
      </c:valAx>
      <c:spPr>
        <a:noFill/>
        <a:ln w="127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Revenue Estimates</a:t>
            </a:r>
            <a:r>
              <a:rPr lang="en-US" altLang="zh-CN" baseline="0"/>
              <a:t> with </a:t>
            </a:r>
          </a:p>
          <a:p>
            <a:pPr>
              <a:defRPr/>
            </a:pPr>
            <a:r>
              <a:rPr lang="en-US" altLang="zh-CN" baseline="0"/>
              <a:t>Simple Exponential Smoothing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 Revenue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RevenueModel!$B$16:$B$67</c:f>
              <c:strCache>
                <c:ptCount val="52"/>
                <c:pt idx="0">
                  <c:v>2010Q1</c:v>
                </c:pt>
                <c:pt idx="1">
                  <c:v>2010Q2</c:v>
                </c:pt>
                <c:pt idx="2">
                  <c:v>2010Q3</c:v>
                </c:pt>
                <c:pt idx="3">
                  <c:v>2010Q4</c:v>
                </c:pt>
                <c:pt idx="4">
                  <c:v>2011Q1</c:v>
                </c:pt>
                <c:pt idx="5">
                  <c:v>2011Q2</c:v>
                </c:pt>
                <c:pt idx="6">
                  <c:v>2011Q3</c:v>
                </c:pt>
                <c:pt idx="7">
                  <c:v>2011Q4</c:v>
                </c:pt>
                <c:pt idx="8">
                  <c:v>2012Q1</c:v>
                </c:pt>
                <c:pt idx="9">
                  <c:v>2012Q2</c:v>
                </c:pt>
                <c:pt idx="10">
                  <c:v>2012Q3</c:v>
                </c:pt>
                <c:pt idx="11">
                  <c:v>2012Q4</c:v>
                </c:pt>
                <c:pt idx="12">
                  <c:v>2013Q1</c:v>
                </c:pt>
                <c:pt idx="13">
                  <c:v>2013Q2</c:v>
                </c:pt>
                <c:pt idx="14">
                  <c:v>2013Q3</c:v>
                </c:pt>
                <c:pt idx="15">
                  <c:v>2013Q4</c:v>
                </c:pt>
                <c:pt idx="16">
                  <c:v>2014Q1</c:v>
                </c:pt>
                <c:pt idx="17">
                  <c:v>2014Q2</c:v>
                </c:pt>
                <c:pt idx="18">
                  <c:v>2014Q3</c:v>
                </c:pt>
                <c:pt idx="19">
                  <c:v>2014Q4</c:v>
                </c:pt>
                <c:pt idx="20">
                  <c:v>2015Q1</c:v>
                </c:pt>
                <c:pt idx="21">
                  <c:v>2015Q2</c:v>
                </c:pt>
                <c:pt idx="22">
                  <c:v>2015Q3</c:v>
                </c:pt>
                <c:pt idx="23">
                  <c:v>2015Q4</c:v>
                </c:pt>
                <c:pt idx="24">
                  <c:v>2016Q1</c:v>
                </c:pt>
                <c:pt idx="25">
                  <c:v>2016Q2</c:v>
                </c:pt>
                <c:pt idx="26">
                  <c:v>2016Q3</c:v>
                </c:pt>
                <c:pt idx="27">
                  <c:v>2016Q4</c:v>
                </c:pt>
                <c:pt idx="28">
                  <c:v>2017Q1</c:v>
                </c:pt>
                <c:pt idx="29">
                  <c:v>2017Q2</c:v>
                </c:pt>
                <c:pt idx="30">
                  <c:v>2017Q3</c:v>
                </c:pt>
                <c:pt idx="31">
                  <c:v>2017Q4</c:v>
                </c:pt>
                <c:pt idx="32">
                  <c:v>2018Q1</c:v>
                </c:pt>
                <c:pt idx="33">
                  <c:v>2018Q2</c:v>
                </c:pt>
                <c:pt idx="34">
                  <c:v>2018Q3</c:v>
                </c:pt>
                <c:pt idx="35">
                  <c:v>2018Q4</c:v>
                </c:pt>
                <c:pt idx="36">
                  <c:v>2019Q1</c:v>
                </c:pt>
                <c:pt idx="37">
                  <c:v>2019Q2</c:v>
                </c:pt>
                <c:pt idx="38">
                  <c:v>2019Q3</c:v>
                </c:pt>
                <c:pt idx="39">
                  <c:v>2019Q4</c:v>
                </c:pt>
                <c:pt idx="40">
                  <c:v>2020Q1</c:v>
                </c:pt>
                <c:pt idx="41">
                  <c:v>2020Q2</c:v>
                </c:pt>
                <c:pt idx="42">
                  <c:v>2020Q3</c:v>
                </c:pt>
                <c:pt idx="43">
                  <c:v>2020Q4</c:v>
                </c:pt>
                <c:pt idx="44">
                  <c:v>2021Q1</c:v>
                </c:pt>
                <c:pt idx="45">
                  <c:v>2021Q2</c:v>
                </c:pt>
                <c:pt idx="46">
                  <c:v>2021Q3</c:v>
                </c:pt>
                <c:pt idx="47">
                  <c:v>2021Q4</c:v>
                </c:pt>
                <c:pt idx="48">
                  <c:v>2022Q1</c:v>
                </c:pt>
                <c:pt idx="49">
                  <c:v>2022Q2</c:v>
                </c:pt>
                <c:pt idx="50">
                  <c:v>2022Q3</c:v>
                </c:pt>
                <c:pt idx="51">
                  <c:v>2022Q4</c:v>
                </c:pt>
              </c:strCache>
            </c:strRef>
          </c:cat>
          <c:val>
            <c:numRef>
              <c:f>RevenueModel!$C$16:$C$67</c:f>
              <c:numCache>
                <c:formatCode>0.00_ </c:formatCode>
                <c:ptCount val="52"/>
                <c:pt idx="0">
                  <c:v>5610.1</c:v>
                </c:pt>
                <c:pt idx="1">
                  <c:v>5945.5</c:v>
                </c:pt>
                <c:pt idx="2">
                  <c:v>6304.9</c:v>
                </c:pt>
                <c:pt idx="3">
                  <c:v>6214.0999999999985</c:v>
                </c:pt>
                <c:pt idx="4">
                  <c:v>6111.6</c:v>
                </c:pt>
                <c:pt idx="5">
                  <c:v>6905.4</c:v>
                </c:pt>
                <c:pt idx="6">
                  <c:v>7166.3</c:v>
                </c:pt>
                <c:pt idx="7">
                  <c:v>6822.7000000000007</c:v>
                </c:pt>
                <c:pt idx="8">
                  <c:v>6546.6</c:v>
                </c:pt>
                <c:pt idx="9">
                  <c:v>6915.9</c:v>
                </c:pt>
                <c:pt idx="10">
                  <c:v>7152.4</c:v>
                </c:pt>
                <c:pt idx="11">
                  <c:v>6952.0999999999985</c:v>
                </c:pt>
                <c:pt idx="12">
                  <c:v>6605.3</c:v>
                </c:pt>
                <c:pt idx="13">
                  <c:v>7083.8</c:v>
                </c:pt>
                <c:pt idx="14">
                  <c:v>7323.4</c:v>
                </c:pt>
                <c:pt idx="15">
                  <c:v>7093.2000000000007</c:v>
                </c:pt>
                <c:pt idx="16">
                  <c:v>6700.3</c:v>
                </c:pt>
                <c:pt idx="17">
                  <c:v>7181.7</c:v>
                </c:pt>
                <c:pt idx="18">
                  <c:v>6987.1</c:v>
                </c:pt>
                <c:pt idx="19">
                  <c:v>6572.2000000000007</c:v>
                </c:pt>
                <c:pt idx="20">
                  <c:v>5958.9</c:v>
                </c:pt>
                <c:pt idx="21">
                  <c:v>6497.7</c:v>
                </c:pt>
                <c:pt idx="22">
                  <c:v>6615.1</c:v>
                </c:pt>
                <c:pt idx="23">
                  <c:v>6341.3000000000029</c:v>
                </c:pt>
                <c:pt idx="24">
                  <c:v>5903.9</c:v>
                </c:pt>
                <c:pt idx="25">
                  <c:v>6265</c:v>
                </c:pt>
                <c:pt idx="26">
                  <c:v>6424.1</c:v>
                </c:pt>
                <c:pt idx="27">
                  <c:v>6028.9000000000015</c:v>
                </c:pt>
                <c:pt idx="28">
                  <c:v>5675.9</c:v>
                </c:pt>
                <c:pt idx="29">
                  <c:v>6049.7</c:v>
                </c:pt>
                <c:pt idx="30">
                  <c:v>5754.6</c:v>
                </c:pt>
                <c:pt idx="31">
                  <c:v>5340.2000000000044</c:v>
                </c:pt>
                <c:pt idx="32">
                  <c:v>5138.8999999999996</c:v>
                </c:pt>
                <c:pt idx="33">
                  <c:v>5353.9</c:v>
                </c:pt>
                <c:pt idx="34">
                  <c:v>5369.4</c:v>
                </c:pt>
                <c:pt idx="35">
                  <c:v>5163.0000000000018</c:v>
                </c:pt>
                <c:pt idx="36">
                  <c:v>4955.6000000000004</c:v>
                </c:pt>
                <c:pt idx="37">
                  <c:v>5341.3</c:v>
                </c:pt>
                <c:pt idx="38">
                  <c:v>5430.6</c:v>
                </c:pt>
                <c:pt idx="39">
                  <c:v>5348.9999999999982</c:v>
                </c:pt>
                <c:pt idx="40">
                  <c:v>4714.3999999999996</c:v>
                </c:pt>
                <c:pt idx="41">
                  <c:v>3761.5</c:v>
                </c:pt>
                <c:pt idx="42">
                  <c:v>5418.1</c:v>
                </c:pt>
                <c:pt idx="43">
                  <c:v>5314</c:v>
                </c:pt>
                <c:pt idx="44">
                  <c:v>5124.6000000000004</c:v>
                </c:pt>
                <c:pt idx="45">
                  <c:v>5887.9</c:v>
                </c:pt>
                <c:pt idx="46">
                  <c:v>6201.3</c:v>
                </c:pt>
                <c:pt idx="47">
                  <c:v>6009.2000000000007</c:v>
                </c:pt>
                <c:pt idx="48">
                  <c:v>5665.6</c:v>
                </c:pt>
                <c:pt idx="49">
                  <c:v>5718.4</c:v>
                </c:pt>
                <c:pt idx="50">
                  <c:v>5872.1</c:v>
                </c:pt>
                <c:pt idx="51">
                  <c:v>5966.9000000000015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4B-4BE5-A7F6-C8BC470ACB65}"/>
            </c:ext>
          </c:extLst>
        </c:ser>
        <c:ser>
          <c:idx val="5"/>
          <c:order val="1"/>
          <c:tx>
            <c:v>Estimated Revenue</c:v>
          </c:tx>
          <c:spPr>
            <a:ln w="19050" cap="rnd">
              <a:solidFill>
                <a:schemeClr val="tx2">
                  <a:lumMod val="90000"/>
                  <a:lumOff val="1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RevenueModel!$B$16:$B$67</c:f>
              <c:strCache>
                <c:ptCount val="52"/>
                <c:pt idx="0">
                  <c:v>2010Q1</c:v>
                </c:pt>
                <c:pt idx="1">
                  <c:v>2010Q2</c:v>
                </c:pt>
                <c:pt idx="2">
                  <c:v>2010Q3</c:v>
                </c:pt>
                <c:pt idx="3">
                  <c:v>2010Q4</c:v>
                </c:pt>
                <c:pt idx="4">
                  <c:v>2011Q1</c:v>
                </c:pt>
                <c:pt idx="5">
                  <c:v>2011Q2</c:v>
                </c:pt>
                <c:pt idx="6">
                  <c:v>2011Q3</c:v>
                </c:pt>
                <c:pt idx="7">
                  <c:v>2011Q4</c:v>
                </c:pt>
                <c:pt idx="8">
                  <c:v>2012Q1</c:v>
                </c:pt>
                <c:pt idx="9">
                  <c:v>2012Q2</c:v>
                </c:pt>
                <c:pt idx="10">
                  <c:v>2012Q3</c:v>
                </c:pt>
                <c:pt idx="11">
                  <c:v>2012Q4</c:v>
                </c:pt>
                <c:pt idx="12">
                  <c:v>2013Q1</c:v>
                </c:pt>
                <c:pt idx="13">
                  <c:v>2013Q2</c:v>
                </c:pt>
                <c:pt idx="14">
                  <c:v>2013Q3</c:v>
                </c:pt>
                <c:pt idx="15">
                  <c:v>2013Q4</c:v>
                </c:pt>
                <c:pt idx="16">
                  <c:v>2014Q1</c:v>
                </c:pt>
                <c:pt idx="17">
                  <c:v>2014Q2</c:v>
                </c:pt>
                <c:pt idx="18">
                  <c:v>2014Q3</c:v>
                </c:pt>
                <c:pt idx="19">
                  <c:v>2014Q4</c:v>
                </c:pt>
                <c:pt idx="20">
                  <c:v>2015Q1</c:v>
                </c:pt>
                <c:pt idx="21">
                  <c:v>2015Q2</c:v>
                </c:pt>
                <c:pt idx="22">
                  <c:v>2015Q3</c:v>
                </c:pt>
                <c:pt idx="23">
                  <c:v>2015Q4</c:v>
                </c:pt>
                <c:pt idx="24">
                  <c:v>2016Q1</c:v>
                </c:pt>
                <c:pt idx="25">
                  <c:v>2016Q2</c:v>
                </c:pt>
                <c:pt idx="26">
                  <c:v>2016Q3</c:v>
                </c:pt>
                <c:pt idx="27">
                  <c:v>2016Q4</c:v>
                </c:pt>
                <c:pt idx="28">
                  <c:v>2017Q1</c:v>
                </c:pt>
                <c:pt idx="29">
                  <c:v>2017Q2</c:v>
                </c:pt>
                <c:pt idx="30">
                  <c:v>2017Q3</c:v>
                </c:pt>
                <c:pt idx="31">
                  <c:v>2017Q4</c:v>
                </c:pt>
                <c:pt idx="32">
                  <c:v>2018Q1</c:v>
                </c:pt>
                <c:pt idx="33">
                  <c:v>2018Q2</c:v>
                </c:pt>
                <c:pt idx="34">
                  <c:v>2018Q3</c:v>
                </c:pt>
                <c:pt idx="35">
                  <c:v>2018Q4</c:v>
                </c:pt>
                <c:pt idx="36">
                  <c:v>2019Q1</c:v>
                </c:pt>
                <c:pt idx="37">
                  <c:v>2019Q2</c:v>
                </c:pt>
                <c:pt idx="38">
                  <c:v>2019Q3</c:v>
                </c:pt>
                <c:pt idx="39">
                  <c:v>2019Q4</c:v>
                </c:pt>
                <c:pt idx="40">
                  <c:v>2020Q1</c:v>
                </c:pt>
                <c:pt idx="41">
                  <c:v>2020Q2</c:v>
                </c:pt>
                <c:pt idx="42">
                  <c:v>2020Q3</c:v>
                </c:pt>
                <c:pt idx="43">
                  <c:v>2020Q4</c:v>
                </c:pt>
                <c:pt idx="44">
                  <c:v>2021Q1</c:v>
                </c:pt>
                <c:pt idx="45">
                  <c:v>2021Q2</c:v>
                </c:pt>
                <c:pt idx="46">
                  <c:v>2021Q3</c:v>
                </c:pt>
                <c:pt idx="47">
                  <c:v>2021Q4</c:v>
                </c:pt>
                <c:pt idx="48">
                  <c:v>2022Q1</c:v>
                </c:pt>
                <c:pt idx="49">
                  <c:v>2022Q2</c:v>
                </c:pt>
                <c:pt idx="50">
                  <c:v>2022Q3</c:v>
                </c:pt>
                <c:pt idx="51">
                  <c:v>2022Q4</c:v>
                </c:pt>
              </c:strCache>
            </c:strRef>
          </c:cat>
          <c:val>
            <c:numRef>
              <c:f>RevenueModel!$I$16:$I$67</c:f>
              <c:numCache>
                <c:formatCode>0.00_ </c:formatCode>
                <c:ptCount val="52"/>
                <c:pt idx="0">
                  <c:v>5686.1750000000002</c:v>
                </c:pt>
                <c:pt idx="1">
                  <c:v>5819.35</c:v>
                </c:pt>
                <c:pt idx="2">
                  <c:v>5893.9250000000011</c:v>
                </c:pt>
                <c:pt idx="3">
                  <c:v>5958.4750000000004</c:v>
                </c:pt>
                <c:pt idx="4">
                  <c:v>6018.65</c:v>
                </c:pt>
                <c:pt idx="5">
                  <c:v>6144.0249999999996</c:v>
                </c:pt>
                <c:pt idx="6">
                  <c:v>6384</c:v>
                </c:pt>
                <c:pt idx="7">
                  <c:v>6599.3499999999995</c:v>
                </c:pt>
                <c:pt idx="8">
                  <c:v>6751.5</c:v>
                </c:pt>
                <c:pt idx="9">
                  <c:v>6860.25</c:v>
                </c:pt>
                <c:pt idx="10">
                  <c:v>6862.875</c:v>
                </c:pt>
                <c:pt idx="11">
                  <c:v>6859.4</c:v>
                </c:pt>
                <c:pt idx="12">
                  <c:v>6891.75</c:v>
                </c:pt>
                <c:pt idx="13">
                  <c:v>6906.4249999999993</c:v>
                </c:pt>
                <c:pt idx="14">
                  <c:v>6948.4</c:v>
                </c:pt>
                <c:pt idx="15">
                  <c:v>6991.15</c:v>
                </c:pt>
                <c:pt idx="16">
                  <c:v>7026.4250000000002</c:v>
                </c:pt>
                <c:pt idx="17">
                  <c:v>7050.1750000000002</c:v>
                </c:pt>
                <c:pt idx="18">
                  <c:v>7074.6500000000005</c:v>
                </c:pt>
                <c:pt idx="19">
                  <c:v>6990.5750000000007</c:v>
                </c:pt>
                <c:pt idx="20">
                  <c:v>6860.3249999999998</c:v>
                </c:pt>
                <c:pt idx="21">
                  <c:v>6674.9750000000004</c:v>
                </c:pt>
                <c:pt idx="22">
                  <c:v>6503.9750000000004</c:v>
                </c:pt>
                <c:pt idx="23">
                  <c:v>6410.9750000000004</c:v>
                </c:pt>
                <c:pt idx="24">
                  <c:v>6353.25</c:v>
                </c:pt>
                <c:pt idx="25">
                  <c:v>6339.5</c:v>
                </c:pt>
                <c:pt idx="26">
                  <c:v>6281.3250000000007</c:v>
                </c:pt>
                <c:pt idx="27">
                  <c:v>6233.5750000000007</c:v>
                </c:pt>
                <c:pt idx="28">
                  <c:v>6155.4750000000004</c:v>
                </c:pt>
                <c:pt idx="29">
                  <c:v>6098.4750000000004</c:v>
                </c:pt>
                <c:pt idx="30">
                  <c:v>6044.6500000000005</c:v>
                </c:pt>
                <c:pt idx="31">
                  <c:v>5877.2749999999996</c:v>
                </c:pt>
                <c:pt idx="32">
                  <c:v>5705.1</c:v>
                </c:pt>
                <c:pt idx="33">
                  <c:v>5570.85</c:v>
                </c:pt>
                <c:pt idx="34">
                  <c:v>5396.9000000000015</c:v>
                </c:pt>
                <c:pt idx="35">
                  <c:v>5300.6</c:v>
                </c:pt>
                <c:pt idx="36">
                  <c:v>5256.3</c:v>
                </c:pt>
                <c:pt idx="37">
                  <c:v>5210.4750000000004</c:v>
                </c:pt>
                <c:pt idx="38">
                  <c:v>5207.3250000000007</c:v>
                </c:pt>
                <c:pt idx="39">
                  <c:v>5222.625</c:v>
                </c:pt>
                <c:pt idx="40">
                  <c:v>5269.125</c:v>
                </c:pt>
                <c:pt idx="41">
                  <c:v>5208.8249999999998</c:v>
                </c:pt>
                <c:pt idx="42">
                  <c:v>4813.875</c:v>
                </c:pt>
                <c:pt idx="43">
                  <c:v>4810.75</c:v>
                </c:pt>
                <c:pt idx="44">
                  <c:v>4802</c:v>
                </c:pt>
                <c:pt idx="45">
                  <c:v>4904.55</c:v>
                </c:pt>
                <c:pt idx="46">
                  <c:v>5436.15</c:v>
                </c:pt>
                <c:pt idx="47">
                  <c:v>5631.95</c:v>
                </c:pt>
                <c:pt idx="48">
                  <c:v>5805.75</c:v>
                </c:pt>
                <c:pt idx="49">
                  <c:v>5941</c:v>
                </c:pt>
                <c:pt idx="50">
                  <c:v>5898.625</c:v>
                </c:pt>
                <c:pt idx="51">
                  <c:v>5816.3250000000007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4B-4BE5-A7F6-C8BC470AC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5295391"/>
        <c:axId val="685311711"/>
      </c:lineChart>
      <c:catAx>
        <c:axId val="68529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5311711"/>
        <c:crosses val="autoZero"/>
        <c:auto val="1"/>
        <c:lblAlgn val="ctr"/>
        <c:lblOffset val="100"/>
        <c:noMultiLvlLbl val="0"/>
      </c:catAx>
      <c:valAx>
        <c:axId val="685311711"/>
        <c:scaling>
          <c:orientation val="minMax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5295391"/>
        <c:crosses val="autoZero"/>
        <c:crossBetween val="between"/>
      </c:valAx>
      <c:spPr>
        <a:noFill/>
        <a:ln w="127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Revenue Estimates</a:t>
            </a:r>
            <a:r>
              <a:rPr lang="en-US" altLang="zh-CN" baseline="0"/>
              <a:t> with ARIMA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 Revenue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RevenueModel!$B$16:$B$67</c:f>
              <c:strCache>
                <c:ptCount val="52"/>
                <c:pt idx="0">
                  <c:v>2010Q1</c:v>
                </c:pt>
                <c:pt idx="1">
                  <c:v>2010Q2</c:v>
                </c:pt>
                <c:pt idx="2">
                  <c:v>2010Q3</c:v>
                </c:pt>
                <c:pt idx="3">
                  <c:v>2010Q4</c:v>
                </c:pt>
                <c:pt idx="4">
                  <c:v>2011Q1</c:v>
                </c:pt>
                <c:pt idx="5">
                  <c:v>2011Q2</c:v>
                </c:pt>
                <c:pt idx="6">
                  <c:v>2011Q3</c:v>
                </c:pt>
                <c:pt idx="7">
                  <c:v>2011Q4</c:v>
                </c:pt>
                <c:pt idx="8">
                  <c:v>2012Q1</c:v>
                </c:pt>
                <c:pt idx="9">
                  <c:v>2012Q2</c:v>
                </c:pt>
                <c:pt idx="10">
                  <c:v>2012Q3</c:v>
                </c:pt>
                <c:pt idx="11">
                  <c:v>2012Q4</c:v>
                </c:pt>
                <c:pt idx="12">
                  <c:v>2013Q1</c:v>
                </c:pt>
                <c:pt idx="13">
                  <c:v>2013Q2</c:v>
                </c:pt>
                <c:pt idx="14">
                  <c:v>2013Q3</c:v>
                </c:pt>
                <c:pt idx="15">
                  <c:v>2013Q4</c:v>
                </c:pt>
                <c:pt idx="16">
                  <c:v>2014Q1</c:v>
                </c:pt>
                <c:pt idx="17">
                  <c:v>2014Q2</c:v>
                </c:pt>
                <c:pt idx="18">
                  <c:v>2014Q3</c:v>
                </c:pt>
                <c:pt idx="19">
                  <c:v>2014Q4</c:v>
                </c:pt>
                <c:pt idx="20">
                  <c:v>2015Q1</c:v>
                </c:pt>
                <c:pt idx="21">
                  <c:v>2015Q2</c:v>
                </c:pt>
                <c:pt idx="22">
                  <c:v>2015Q3</c:v>
                </c:pt>
                <c:pt idx="23">
                  <c:v>2015Q4</c:v>
                </c:pt>
                <c:pt idx="24">
                  <c:v>2016Q1</c:v>
                </c:pt>
                <c:pt idx="25">
                  <c:v>2016Q2</c:v>
                </c:pt>
                <c:pt idx="26">
                  <c:v>2016Q3</c:v>
                </c:pt>
                <c:pt idx="27">
                  <c:v>2016Q4</c:v>
                </c:pt>
                <c:pt idx="28">
                  <c:v>2017Q1</c:v>
                </c:pt>
                <c:pt idx="29">
                  <c:v>2017Q2</c:v>
                </c:pt>
                <c:pt idx="30">
                  <c:v>2017Q3</c:v>
                </c:pt>
                <c:pt idx="31">
                  <c:v>2017Q4</c:v>
                </c:pt>
                <c:pt idx="32">
                  <c:v>2018Q1</c:v>
                </c:pt>
                <c:pt idx="33">
                  <c:v>2018Q2</c:v>
                </c:pt>
                <c:pt idx="34">
                  <c:v>2018Q3</c:v>
                </c:pt>
                <c:pt idx="35">
                  <c:v>2018Q4</c:v>
                </c:pt>
                <c:pt idx="36">
                  <c:v>2019Q1</c:v>
                </c:pt>
                <c:pt idx="37">
                  <c:v>2019Q2</c:v>
                </c:pt>
                <c:pt idx="38">
                  <c:v>2019Q3</c:v>
                </c:pt>
                <c:pt idx="39">
                  <c:v>2019Q4</c:v>
                </c:pt>
                <c:pt idx="40">
                  <c:v>2020Q1</c:v>
                </c:pt>
                <c:pt idx="41">
                  <c:v>2020Q2</c:v>
                </c:pt>
                <c:pt idx="42">
                  <c:v>2020Q3</c:v>
                </c:pt>
                <c:pt idx="43">
                  <c:v>2020Q4</c:v>
                </c:pt>
                <c:pt idx="44">
                  <c:v>2021Q1</c:v>
                </c:pt>
                <c:pt idx="45">
                  <c:v>2021Q2</c:v>
                </c:pt>
                <c:pt idx="46">
                  <c:v>2021Q3</c:v>
                </c:pt>
                <c:pt idx="47">
                  <c:v>2021Q4</c:v>
                </c:pt>
                <c:pt idx="48">
                  <c:v>2022Q1</c:v>
                </c:pt>
                <c:pt idx="49">
                  <c:v>2022Q2</c:v>
                </c:pt>
                <c:pt idx="50">
                  <c:v>2022Q3</c:v>
                </c:pt>
                <c:pt idx="51">
                  <c:v>2022Q4</c:v>
                </c:pt>
              </c:strCache>
            </c:strRef>
          </c:cat>
          <c:val>
            <c:numRef>
              <c:f>RevenueModel!$C$16:$C$67</c:f>
              <c:numCache>
                <c:formatCode>0.00_ </c:formatCode>
                <c:ptCount val="52"/>
                <c:pt idx="0">
                  <c:v>5610.1</c:v>
                </c:pt>
                <c:pt idx="1">
                  <c:v>5945.5</c:v>
                </c:pt>
                <c:pt idx="2">
                  <c:v>6304.9</c:v>
                </c:pt>
                <c:pt idx="3">
                  <c:v>6214.0999999999985</c:v>
                </c:pt>
                <c:pt idx="4">
                  <c:v>6111.6</c:v>
                </c:pt>
                <c:pt idx="5">
                  <c:v>6905.4</c:v>
                </c:pt>
                <c:pt idx="6">
                  <c:v>7166.3</c:v>
                </c:pt>
                <c:pt idx="7">
                  <c:v>6822.7000000000007</c:v>
                </c:pt>
                <c:pt idx="8">
                  <c:v>6546.6</c:v>
                </c:pt>
                <c:pt idx="9">
                  <c:v>6915.9</c:v>
                </c:pt>
                <c:pt idx="10">
                  <c:v>7152.4</c:v>
                </c:pt>
                <c:pt idx="11">
                  <c:v>6952.0999999999985</c:v>
                </c:pt>
                <c:pt idx="12">
                  <c:v>6605.3</c:v>
                </c:pt>
                <c:pt idx="13">
                  <c:v>7083.8</c:v>
                </c:pt>
                <c:pt idx="14">
                  <c:v>7323.4</c:v>
                </c:pt>
                <c:pt idx="15">
                  <c:v>7093.2000000000007</c:v>
                </c:pt>
                <c:pt idx="16">
                  <c:v>6700.3</c:v>
                </c:pt>
                <c:pt idx="17">
                  <c:v>7181.7</c:v>
                </c:pt>
                <c:pt idx="18">
                  <c:v>6987.1</c:v>
                </c:pt>
                <c:pt idx="19">
                  <c:v>6572.2000000000007</c:v>
                </c:pt>
                <c:pt idx="20">
                  <c:v>5958.9</c:v>
                </c:pt>
                <c:pt idx="21">
                  <c:v>6497.7</c:v>
                </c:pt>
                <c:pt idx="22">
                  <c:v>6615.1</c:v>
                </c:pt>
                <c:pt idx="23">
                  <c:v>6341.3000000000029</c:v>
                </c:pt>
                <c:pt idx="24">
                  <c:v>5903.9</c:v>
                </c:pt>
                <c:pt idx="25">
                  <c:v>6265</c:v>
                </c:pt>
                <c:pt idx="26">
                  <c:v>6424.1</c:v>
                </c:pt>
                <c:pt idx="27">
                  <c:v>6028.9000000000015</c:v>
                </c:pt>
                <c:pt idx="28">
                  <c:v>5675.9</c:v>
                </c:pt>
                <c:pt idx="29">
                  <c:v>6049.7</c:v>
                </c:pt>
                <c:pt idx="30">
                  <c:v>5754.6</c:v>
                </c:pt>
                <c:pt idx="31">
                  <c:v>5340.2000000000044</c:v>
                </c:pt>
                <c:pt idx="32">
                  <c:v>5138.8999999999996</c:v>
                </c:pt>
                <c:pt idx="33">
                  <c:v>5353.9</c:v>
                </c:pt>
                <c:pt idx="34">
                  <c:v>5369.4</c:v>
                </c:pt>
                <c:pt idx="35">
                  <c:v>5163.0000000000018</c:v>
                </c:pt>
                <c:pt idx="36">
                  <c:v>4955.6000000000004</c:v>
                </c:pt>
                <c:pt idx="37">
                  <c:v>5341.3</c:v>
                </c:pt>
                <c:pt idx="38">
                  <c:v>5430.6</c:v>
                </c:pt>
                <c:pt idx="39">
                  <c:v>5348.9999999999982</c:v>
                </c:pt>
                <c:pt idx="40">
                  <c:v>4714.3999999999996</c:v>
                </c:pt>
                <c:pt idx="41">
                  <c:v>3761.5</c:v>
                </c:pt>
                <c:pt idx="42">
                  <c:v>5418.1</c:v>
                </c:pt>
                <c:pt idx="43">
                  <c:v>5314</c:v>
                </c:pt>
                <c:pt idx="44">
                  <c:v>5124.6000000000004</c:v>
                </c:pt>
                <c:pt idx="45">
                  <c:v>5887.9</c:v>
                </c:pt>
                <c:pt idx="46">
                  <c:v>6201.3</c:v>
                </c:pt>
                <c:pt idx="47">
                  <c:v>6009.2000000000007</c:v>
                </c:pt>
                <c:pt idx="48">
                  <c:v>5665.6</c:v>
                </c:pt>
                <c:pt idx="49">
                  <c:v>5718.4</c:v>
                </c:pt>
                <c:pt idx="50">
                  <c:v>5872.1</c:v>
                </c:pt>
                <c:pt idx="51">
                  <c:v>5966.9000000000015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9B-458B-B384-95467AE06851}"/>
            </c:ext>
          </c:extLst>
        </c:ser>
        <c:ser>
          <c:idx val="5"/>
          <c:order val="1"/>
          <c:tx>
            <c:v>Estimated Revenue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RevenueModel!$B$16:$B$67</c:f>
              <c:strCache>
                <c:ptCount val="52"/>
                <c:pt idx="0">
                  <c:v>2010Q1</c:v>
                </c:pt>
                <c:pt idx="1">
                  <c:v>2010Q2</c:v>
                </c:pt>
                <c:pt idx="2">
                  <c:v>2010Q3</c:v>
                </c:pt>
                <c:pt idx="3">
                  <c:v>2010Q4</c:v>
                </c:pt>
                <c:pt idx="4">
                  <c:v>2011Q1</c:v>
                </c:pt>
                <c:pt idx="5">
                  <c:v>2011Q2</c:v>
                </c:pt>
                <c:pt idx="6">
                  <c:v>2011Q3</c:v>
                </c:pt>
                <c:pt idx="7">
                  <c:v>2011Q4</c:v>
                </c:pt>
                <c:pt idx="8">
                  <c:v>2012Q1</c:v>
                </c:pt>
                <c:pt idx="9">
                  <c:v>2012Q2</c:v>
                </c:pt>
                <c:pt idx="10">
                  <c:v>2012Q3</c:v>
                </c:pt>
                <c:pt idx="11">
                  <c:v>2012Q4</c:v>
                </c:pt>
                <c:pt idx="12">
                  <c:v>2013Q1</c:v>
                </c:pt>
                <c:pt idx="13">
                  <c:v>2013Q2</c:v>
                </c:pt>
                <c:pt idx="14">
                  <c:v>2013Q3</c:v>
                </c:pt>
                <c:pt idx="15">
                  <c:v>2013Q4</c:v>
                </c:pt>
                <c:pt idx="16">
                  <c:v>2014Q1</c:v>
                </c:pt>
                <c:pt idx="17">
                  <c:v>2014Q2</c:v>
                </c:pt>
                <c:pt idx="18">
                  <c:v>2014Q3</c:v>
                </c:pt>
                <c:pt idx="19">
                  <c:v>2014Q4</c:v>
                </c:pt>
                <c:pt idx="20">
                  <c:v>2015Q1</c:v>
                </c:pt>
                <c:pt idx="21">
                  <c:v>2015Q2</c:v>
                </c:pt>
                <c:pt idx="22">
                  <c:v>2015Q3</c:v>
                </c:pt>
                <c:pt idx="23">
                  <c:v>2015Q4</c:v>
                </c:pt>
                <c:pt idx="24">
                  <c:v>2016Q1</c:v>
                </c:pt>
                <c:pt idx="25">
                  <c:v>2016Q2</c:v>
                </c:pt>
                <c:pt idx="26">
                  <c:v>2016Q3</c:v>
                </c:pt>
                <c:pt idx="27">
                  <c:v>2016Q4</c:v>
                </c:pt>
                <c:pt idx="28">
                  <c:v>2017Q1</c:v>
                </c:pt>
                <c:pt idx="29">
                  <c:v>2017Q2</c:v>
                </c:pt>
                <c:pt idx="30">
                  <c:v>2017Q3</c:v>
                </c:pt>
                <c:pt idx="31">
                  <c:v>2017Q4</c:v>
                </c:pt>
                <c:pt idx="32">
                  <c:v>2018Q1</c:v>
                </c:pt>
                <c:pt idx="33">
                  <c:v>2018Q2</c:v>
                </c:pt>
                <c:pt idx="34">
                  <c:v>2018Q3</c:v>
                </c:pt>
                <c:pt idx="35">
                  <c:v>2018Q4</c:v>
                </c:pt>
                <c:pt idx="36">
                  <c:v>2019Q1</c:v>
                </c:pt>
                <c:pt idx="37">
                  <c:v>2019Q2</c:v>
                </c:pt>
                <c:pt idx="38">
                  <c:v>2019Q3</c:v>
                </c:pt>
                <c:pt idx="39">
                  <c:v>2019Q4</c:v>
                </c:pt>
                <c:pt idx="40">
                  <c:v>2020Q1</c:v>
                </c:pt>
                <c:pt idx="41">
                  <c:v>2020Q2</c:v>
                </c:pt>
                <c:pt idx="42">
                  <c:v>2020Q3</c:v>
                </c:pt>
                <c:pt idx="43">
                  <c:v>2020Q4</c:v>
                </c:pt>
                <c:pt idx="44">
                  <c:v>2021Q1</c:v>
                </c:pt>
                <c:pt idx="45">
                  <c:v>2021Q2</c:v>
                </c:pt>
                <c:pt idx="46">
                  <c:v>2021Q3</c:v>
                </c:pt>
                <c:pt idx="47">
                  <c:v>2021Q4</c:v>
                </c:pt>
                <c:pt idx="48">
                  <c:v>2022Q1</c:v>
                </c:pt>
                <c:pt idx="49">
                  <c:v>2022Q2</c:v>
                </c:pt>
                <c:pt idx="50">
                  <c:v>2022Q3</c:v>
                </c:pt>
                <c:pt idx="51">
                  <c:v>2022Q4</c:v>
                </c:pt>
              </c:strCache>
            </c:strRef>
          </c:cat>
          <c:val>
            <c:numRef>
              <c:f>RevenueModel!$AM$16:$AM$67</c:f>
              <c:numCache>
                <c:formatCode>General</c:formatCode>
                <c:ptCount val="52"/>
                <c:pt idx="0">
                  <c:v>5894.60768804696</c:v>
                </c:pt>
                <c:pt idx="1">
                  <c:v>5918.3522287321603</c:v>
                </c:pt>
                <c:pt idx="2">
                  <c:v>6330.2626472682196</c:v>
                </c:pt>
                <c:pt idx="3">
                  <c:v>6237.8081502002497</c:v>
                </c:pt>
                <c:pt idx="4">
                  <c:v>6017.5276754242304</c:v>
                </c:pt>
                <c:pt idx="5">
                  <c:v>6376.5264721946796</c:v>
                </c:pt>
                <c:pt idx="6">
                  <c:v>7279.2512507399897</c:v>
                </c:pt>
                <c:pt idx="7">
                  <c:v>7122.7128949827202</c:v>
                </c:pt>
                <c:pt idx="8">
                  <c:v>6712.8575041595896</c:v>
                </c:pt>
                <c:pt idx="9">
                  <c:v>6961.1540583749702</c:v>
                </c:pt>
                <c:pt idx="10">
                  <c:v>7372.9762857230098</c:v>
                </c:pt>
                <c:pt idx="11">
                  <c:v>7047.6662443963496</c:v>
                </c:pt>
                <c:pt idx="12">
                  <c:v>6763.4826882775997</c:v>
                </c:pt>
                <c:pt idx="13">
                  <c:v>6989.2647267335396</c:v>
                </c:pt>
                <c:pt idx="14">
                  <c:v>7501.9651255152103</c:v>
                </c:pt>
                <c:pt idx="15">
                  <c:v>7202.6332410311697</c:v>
                </c:pt>
                <c:pt idx="16">
                  <c:v>6879.1468977192599</c:v>
                </c:pt>
                <c:pt idx="17">
                  <c:v>7075.6809243526804</c:v>
                </c:pt>
                <c:pt idx="18">
                  <c:v>7595.5462054745303</c:v>
                </c:pt>
                <c:pt idx="19">
                  <c:v>6951.8367008539499</c:v>
                </c:pt>
                <c:pt idx="20">
                  <c:v>6399.4294313951004</c:v>
                </c:pt>
                <c:pt idx="21">
                  <c:v>6308.3555250159197</c:v>
                </c:pt>
                <c:pt idx="22">
                  <c:v>6787.3023590691</c:v>
                </c:pt>
                <c:pt idx="23">
                  <c:v>6457.6937140603304</c:v>
                </c:pt>
                <c:pt idx="24">
                  <c:v>6104.37956019803</c:v>
                </c:pt>
                <c:pt idx="25">
                  <c:v>6206.2656122075396</c:v>
                </c:pt>
                <c:pt idx="26">
                  <c:v>6581.57158597138</c:v>
                </c:pt>
                <c:pt idx="27">
                  <c:v>6257.25654680138</c:v>
                </c:pt>
                <c:pt idx="28">
                  <c:v>5807.7956937892704</c:v>
                </c:pt>
                <c:pt idx="29">
                  <c:v>5933.7863595811496</c:v>
                </c:pt>
                <c:pt idx="30">
                  <c:v>6338.94703209822</c:v>
                </c:pt>
                <c:pt idx="31">
                  <c:v>5694.1764412503398</c:v>
                </c:pt>
                <c:pt idx="32">
                  <c:v>5153.2761092102201</c:v>
                </c:pt>
                <c:pt idx="33">
                  <c:v>5321.3256492902701</c:v>
                </c:pt>
                <c:pt idx="34">
                  <c:v>5592.9846926407699</c:v>
                </c:pt>
                <c:pt idx="35">
                  <c:v>5238.1137900715003</c:v>
                </c:pt>
                <c:pt idx="36">
                  <c:v>4938.57298170582</c:v>
                </c:pt>
                <c:pt idx="37">
                  <c:v>5112.4261051269996</c:v>
                </c:pt>
                <c:pt idx="38">
                  <c:v>5523.6585070239798</c:v>
                </c:pt>
                <c:pt idx="39">
                  <c:v>5288.5266110721795</c:v>
                </c:pt>
                <c:pt idx="40">
                  <c:v>5093.7890006790103</c:v>
                </c:pt>
                <c:pt idx="41">
                  <c:v>4943.6627776815103</c:v>
                </c:pt>
                <c:pt idx="42">
                  <c:v>4143.4124395601402</c:v>
                </c:pt>
                <c:pt idx="43">
                  <c:v>4772.2094598834001</c:v>
                </c:pt>
                <c:pt idx="44">
                  <c:v>4947.7956855115699</c:v>
                </c:pt>
                <c:pt idx="45">
                  <c:v>5236.80724617128</c:v>
                </c:pt>
                <c:pt idx="46">
                  <c:v>6144.5742833618297</c:v>
                </c:pt>
                <c:pt idx="47">
                  <c:v>6083.46202030316</c:v>
                </c:pt>
                <c:pt idx="48">
                  <c:v>5649.1134789403995</c:v>
                </c:pt>
                <c:pt idx="49">
                  <c:v>5835.0671246066204</c:v>
                </c:pt>
                <c:pt idx="50">
                  <c:v>6158.4077548921196</c:v>
                </c:pt>
                <c:pt idx="51">
                  <c:v>5823.2904783169597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9B-458B-B384-95467AE06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5295391"/>
        <c:axId val="685311711"/>
      </c:lineChart>
      <c:catAx>
        <c:axId val="68529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5311711"/>
        <c:crosses val="autoZero"/>
        <c:auto val="1"/>
        <c:lblAlgn val="ctr"/>
        <c:lblOffset val="100"/>
        <c:noMultiLvlLbl val="0"/>
      </c:catAx>
      <c:valAx>
        <c:axId val="685311711"/>
        <c:scaling>
          <c:orientation val="minMax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5295391"/>
        <c:crosses val="autoZero"/>
        <c:crossBetween val="between"/>
      </c:valAx>
      <c:spPr>
        <a:noFill/>
        <a:ln w="127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Revenue Estimates</a:t>
            </a:r>
            <a:r>
              <a:rPr lang="en-US" altLang="zh-CN" baseline="0"/>
              <a:t> with </a:t>
            </a:r>
          </a:p>
          <a:p>
            <a:pPr>
              <a:defRPr/>
            </a:pPr>
            <a:r>
              <a:rPr lang="en-US" altLang="zh-CN" baseline="0"/>
              <a:t>Holt-Winters Exponential Smoothing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 Revenue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RevenueModel!$B$16:$B$67</c:f>
              <c:strCache>
                <c:ptCount val="52"/>
                <c:pt idx="0">
                  <c:v>2010Q1</c:v>
                </c:pt>
                <c:pt idx="1">
                  <c:v>2010Q2</c:v>
                </c:pt>
                <c:pt idx="2">
                  <c:v>2010Q3</c:v>
                </c:pt>
                <c:pt idx="3">
                  <c:v>2010Q4</c:v>
                </c:pt>
                <c:pt idx="4">
                  <c:v>2011Q1</c:v>
                </c:pt>
                <c:pt idx="5">
                  <c:v>2011Q2</c:v>
                </c:pt>
                <c:pt idx="6">
                  <c:v>2011Q3</c:v>
                </c:pt>
                <c:pt idx="7">
                  <c:v>2011Q4</c:v>
                </c:pt>
                <c:pt idx="8">
                  <c:v>2012Q1</c:v>
                </c:pt>
                <c:pt idx="9">
                  <c:v>2012Q2</c:v>
                </c:pt>
                <c:pt idx="10">
                  <c:v>2012Q3</c:v>
                </c:pt>
                <c:pt idx="11">
                  <c:v>2012Q4</c:v>
                </c:pt>
                <c:pt idx="12">
                  <c:v>2013Q1</c:v>
                </c:pt>
                <c:pt idx="13">
                  <c:v>2013Q2</c:v>
                </c:pt>
                <c:pt idx="14">
                  <c:v>2013Q3</c:v>
                </c:pt>
                <c:pt idx="15">
                  <c:v>2013Q4</c:v>
                </c:pt>
                <c:pt idx="16">
                  <c:v>2014Q1</c:v>
                </c:pt>
                <c:pt idx="17">
                  <c:v>2014Q2</c:v>
                </c:pt>
                <c:pt idx="18">
                  <c:v>2014Q3</c:v>
                </c:pt>
                <c:pt idx="19">
                  <c:v>2014Q4</c:v>
                </c:pt>
                <c:pt idx="20">
                  <c:v>2015Q1</c:v>
                </c:pt>
                <c:pt idx="21">
                  <c:v>2015Q2</c:v>
                </c:pt>
                <c:pt idx="22">
                  <c:v>2015Q3</c:v>
                </c:pt>
                <c:pt idx="23">
                  <c:v>2015Q4</c:v>
                </c:pt>
                <c:pt idx="24">
                  <c:v>2016Q1</c:v>
                </c:pt>
                <c:pt idx="25">
                  <c:v>2016Q2</c:v>
                </c:pt>
                <c:pt idx="26">
                  <c:v>2016Q3</c:v>
                </c:pt>
                <c:pt idx="27">
                  <c:v>2016Q4</c:v>
                </c:pt>
                <c:pt idx="28">
                  <c:v>2017Q1</c:v>
                </c:pt>
                <c:pt idx="29">
                  <c:v>2017Q2</c:v>
                </c:pt>
                <c:pt idx="30">
                  <c:v>2017Q3</c:v>
                </c:pt>
                <c:pt idx="31">
                  <c:v>2017Q4</c:v>
                </c:pt>
                <c:pt idx="32">
                  <c:v>2018Q1</c:v>
                </c:pt>
                <c:pt idx="33">
                  <c:v>2018Q2</c:v>
                </c:pt>
                <c:pt idx="34">
                  <c:v>2018Q3</c:v>
                </c:pt>
                <c:pt idx="35">
                  <c:v>2018Q4</c:v>
                </c:pt>
                <c:pt idx="36">
                  <c:v>2019Q1</c:v>
                </c:pt>
                <c:pt idx="37">
                  <c:v>2019Q2</c:v>
                </c:pt>
                <c:pt idx="38">
                  <c:v>2019Q3</c:v>
                </c:pt>
                <c:pt idx="39">
                  <c:v>2019Q4</c:v>
                </c:pt>
                <c:pt idx="40">
                  <c:v>2020Q1</c:v>
                </c:pt>
                <c:pt idx="41">
                  <c:v>2020Q2</c:v>
                </c:pt>
                <c:pt idx="42">
                  <c:v>2020Q3</c:v>
                </c:pt>
                <c:pt idx="43">
                  <c:v>2020Q4</c:v>
                </c:pt>
                <c:pt idx="44">
                  <c:v>2021Q1</c:v>
                </c:pt>
                <c:pt idx="45">
                  <c:v>2021Q2</c:v>
                </c:pt>
                <c:pt idx="46">
                  <c:v>2021Q3</c:v>
                </c:pt>
                <c:pt idx="47">
                  <c:v>2021Q4</c:v>
                </c:pt>
                <c:pt idx="48">
                  <c:v>2022Q1</c:v>
                </c:pt>
                <c:pt idx="49">
                  <c:v>2022Q2</c:v>
                </c:pt>
                <c:pt idx="50">
                  <c:v>2022Q3</c:v>
                </c:pt>
                <c:pt idx="51">
                  <c:v>2022Q4</c:v>
                </c:pt>
              </c:strCache>
            </c:strRef>
          </c:cat>
          <c:val>
            <c:numRef>
              <c:f>RevenueModel!$C$16:$C$67</c:f>
              <c:numCache>
                <c:formatCode>0.00_ </c:formatCode>
                <c:ptCount val="52"/>
                <c:pt idx="0">
                  <c:v>5610.1</c:v>
                </c:pt>
                <c:pt idx="1">
                  <c:v>5945.5</c:v>
                </c:pt>
                <c:pt idx="2">
                  <c:v>6304.9</c:v>
                </c:pt>
                <c:pt idx="3">
                  <c:v>6214.0999999999985</c:v>
                </c:pt>
                <c:pt idx="4">
                  <c:v>6111.6</c:v>
                </c:pt>
                <c:pt idx="5">
                  <c:v>6905.4</c:v>
                </c:pt>
                <c:pt idx="6">
                  <c:v>7166.3</c:v>
                </c:pt>
                <c:pt idx="7">
                  <c:v>6822.7000000000007</c:v>
                </c:pt>
                <c:pt idx="8">
                  <c:v>6546.6</c:v>
                </c:pt>
                <c:pt idx="9">
                  <c:v>6915.9</c:v>
                </c:pt>
                <c:pt idx="10">
                  <c:v>7152.4</c:v>
                </c:pt>
                <c:pt idx="11">
                  <c:v>6952.0999999999985</c:v>
                </c:pt>
                <c:pt idx="12">
                  <c:v>6605.3</c:v>
                </c:pt>
                <c:pt idx="13">
                  <c:v>7083.8</c:v>
                </c:pt>
                <c:pt idx="14">
                  <c:v>7323.4</c:v>
                </c:pt>
                <c:pt idx="15">
                  <c:v>7093.2000000000007</c:v>
                </c:pt>
                <c:pt idx="16">
                  <c:v>6700.3</c:v>
                </c:pt>
                <c:pt idx="17">
                  <c:v>7181.7</c:v>
                </c:pt>
                <c:pt idx="18">
                  <c:v>6987.1</c:v>
                </c:pt>
                <c:pt idx="19">
                  <c:v>6572.2000000000007</c:v>
                </c:pt>
                <c:pt idx="20">
                  <c:v>5958.9</c:v>
                </c:pt>
                <c:pt idx="21">
                  <c:v>6497.7</c:v>
                </c:pt>
                <c:pt idx="22">
                  <c:v>6615.1</c:v>
                </c:pt>
                <c:pt idx="23">
                  <c:v>6341.3000000000029</c:v>
                </c:pt>
                <c:pt idx="24">
                  <c:v>5903.9</c:v>
                </c:pt>
                <c:pt idx="25">
                  <c:v>6265</c:v>
                </c:pt>
                <c:pt idx="26">
                  <c:v>6424.1</c:v>
                </c:pt>
                <c:pt idx="27">
                  <c:v>6028.9000000000015</c:v>
                </c:pt>
                <c:pt idx="28">
                  <c:v>5675.9</c:v>
                </c:pt>
                <c:pt idx="29">
                  <c:v>6049.7</c:v>
                </c:pt>
                <c:pt idx="30">
                  <c:v>5754.6</c:v>
                </c:pt>
                <c:pt idx="31">
                  <c:v>5340.2000000000044</c:v>
                </c:pt>
                <c:pt idx="32">
                  <c:v>5138.8999999999996</c:v>
                </c:pt>
                <c:pt idx="33">
                  <c:v>5353.9</c:v>
                </c:pt>
                <c:pt idx="34">
                  <c:v>5369.4</c:v>
                </c:pt>
                <c:pt idx="35">
                  <c:v>5163.0000000000018</c:v>
                </c:pt>
                <c:pt idx="36">
                  <c:v>4955.6000000000004</c:v>
                </c:pt>
                <c:pt idx="37">
                  <c:v>5341.3</c:v>
                </c:pt>
                <c:pt idx="38">
                  <c:v>5430.6</c:v>
                </c:pt>
                <c:pt idx="39">
                  <c:v>5348.9999999999982</c:v>
                </c:pt>
                <c:pt idx="40">
                  <c:v>4714.3999999999996</c:v>
                </c:pt>
                <c:pt idx="41">
                  <c:v>3761.5</c:v>
                </c:pt>
                <c:pt idx="42">
                  <c:v>5418.1</c:v>
                </c:pt>
                <c:pt idx="43">
                  <c:v>5314</c:v>
                </c:pt>
                <c:pt idx="44">
                  <c:v>5124.6000000000004</c:v>
                </c:pt>
                <c:pt idx="45">
                  <c:v>5887.9</c:v>
                </c:pt>
                <c:pt idx="46">
                  <c:v>6201.3</c:v>
                </c:pt>
                <c:pt idx="47">
                  <c:v>6009.2000000000007</c:v>
                </c:pt>
                <c:pt idx="48">
                  <c:v>5665.6</c:v>
                </c:pt>
                <c:pt idx="49">
                  <c:v>5718.4</c:v>
                </c:pt>
                <c:pt idx="50">
                  <c:v>5872.1</c:v>
                </c:pt>
                <c:pt idx="51">
                  <c:v>5966.9000000000015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0B-4CCB-8694-D36995B1F097}"/>
            </c:ext>
          </c:extLst>
        </c:ser>
        <c:ser>
          <c:idx val="5"/>
          <c:order val="1"/>
          <c:tx>
            <c:v>Estimated Revenue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RevenueModel!$B$16:$B$67</c:f>
              <c:strCache>
                <c:ptCount val="52"/>
                <c:pt idx="0">
                  <c:v>2010Q1</c:v>
                </c:pt>
                <c:pt idx="1">
                  <c:v>2010Q2</c:v>
                </c:pt>
                <c:pt idx="2">
                  <c:v>2010Q3</c:v>
                </c:pt>
                <c:pt idx="3">
                  <c:v>2010Q4</c:v>
                </c:pt>
                <c:pt idx="4">
                  <c:v>2011Q1</c:v>
                </c:pt>
                <c:pt idx="5">
                  <c:v>2011Q2</c:v>
                </c:pt>
                <c:pt idx="6">
                  <c:v>2011Q3</c:v>
                </c:pt>
                <c:pt idx="7">
                  <c:v>2011Q4</c:v>
                </c:pt>
                <c:pt idx="8">
                  <c:v>2012Q1</c:v>
                </c:pt>
                <c:pt idx="9">
                  <c:v>2012Q2</c:v>
                </c:pt>
                <c:pt idx="10">
                  <c:v>2012Q3</c:v>
                </c:pt>
                <c:pt idx="11">
                  <c:v>2012Q4</c:v>
                </c:pt>
                <c:pt idx="12">
                  <c:v>2013Q1</c:v>
                </c:pt>
                <c:pt idx="13">
                  <c:v>2013Q2</c:v>
                </c:pt>
                <c:pt idx="14">
                  <c:v>2013Q3</c:v>
                </c:pt>
                <c:pt idx="15">
                  <c:v>2013Q4</c:v>
                </c:pt>
                <c:pt idx="16">
                  <c:v>2014Q1</c:v>
                </c:pt>
                <c:pt idx="17">
                  <c:v>2014Q2</c:v>
                </c:pt>
                <c:pt idx="18">
                  <c:v>2014Q3</c:v>
                </c:pt>
                <c:pt idx="19">
                  <c:v>2014Q4</c:v>
                </c:pt>
                <c:pt idx="20">
                  <c:v>2015Q1</c:v>
                </c:pt>
                <c:pt idx="21">
                  <c:v>2015Q2</c:v>
                </c:pt>
                <c:pt idx="22">
                  <c:v>2015Q3</c:v>
                </c:pt>
                <c:pt idx="23">
                  <c:v>2015Q4</c:v>
                </c:pt>
                <c:pt idx="24">
                  <c:v>2016Q1</c:v>
                </c:pt>
                <c:pt idx="25">
                  <c:v>2016Q2</c:v>
                </c:pt>
                <c:pt idx="26">
                  <c:v>2016Q3</c:v>
                </c:pt>
                <c:pt idx="27">
                  <c:v>2016Q4</c:v>
                </c:pt>
                <c:pt idx="28">
                  <c:v>2017Q1</c:v>
                </c:pt>
                <c:pt idx="29">
                  <c:v>2017Q2</c:v>
                </c:pt>
                <c:pt idx="30">
                  <c:v>2017Q3</c:v>
                </c:pt>
                <c:pt idx="31">
                  <c:v>2017Q4</c:v>
                </c:pt>
                <c:pt idx="32">
                  <c:v>2018Q1</c:v>
                </c:pt>
                <c:pt idx="33">
                  <c:v>2018Q2</c:v>
                </c:pt>
                <c:pt idx="34">
                  <c:v>2018Q3</c:v>
                </c:pt>
                <c:pt idx="35">
                  <c:v>2018Q4</c:v>
                </c:pt>
                <c:pt idx="36">
                  <c:v>2019Q1</c:v>
                </c:pt>
                <c:pt idx="37">
                  <c:v>2019Q2</c:v>
                </c:pt>
                <c:pt idx="38">
                  <c:v>2019Q3</c:v>
                </c:pt>
                <c:pt idx="39">
                  <c:v>2019Q4</c:v>
                </c:pt>
                <c:pt idx="40">
                  <c:v>2020Q1</c:v>
                </c:pt>
                <c:pt idx="41">
                  <c:v>2020Q2</c:v>
                </c:pt>
                <c:pt idx="42">
                  <c:v>2020Q3</c:v>
                </c:pt>
                <c:pt idx="43">
                  <c:v>2020Q4</c:v>
                </c:pt>
                <c:pt idx="44">
                  <c:v>2021Q1</c:v>
                </c:pt>
                <c:pt idx="45">
                  <c:v>2021Q2</c:v>
                </c:pt>
                <c:pt idx="46">
                  <c:v>2021Q3</c:v>
                </c:pt>
                <c:pt idx="47">
                  <c:v>2021Q4</c:v>
                </c:pt>
                <c:pt idx="48">
                  <c:v>2022Q1</c:v>
                </c:pt>
                <c:pt idx="49">
                  <c:v>2022Q2</c:v>
                </c:pt>
                <c:pt idx="50">
                  <c:v>2022Q3</c:v>
                </c:pt>
                <c:pt idx="51">
                  <c:v>2022Q4</c:v>
                </c:pt>
              </c:strCache>
            </c:strRef>
          </c:cat>
          <c:val>
            <c:numRef>
              <c:f>RevenueModel!$AH$16:$AH$67</c:f>
              <c:numCache>
                <c:formatCode>0.00_ </c:formatCode>
                <c:ptCount val="52"/>
                <c:pt idx="0">
                  <c:v>5077.3999999999996</c:v>
                </c:pt>
                <c:pt idx="1">
                  <c:v>6001.9292392846637</c:v>
                </c:pt>
                <c:pt idx="2">
                  <c:v>6390.3485740387823</c:v>
                </c:pt>
                <c:pt idx="3">
                  <c:v>6262.3433097182806</c:v>
                </c:pt>
                <c:pt idx="4">
                  <c:v>5400.7223401825331</c:v>
                </c:pt>
                <c:pt idx="5">
                  <c:v>6345.7189855208126</c:v>
                </c:pt>
                <c:pt idx="6">
                  <c:v>7147.7915010161332</c:v>
                </c:pt>
                <c:pt idx="7">
                  <c:v>7080.0492252925669</c:v>
                </c:pt>
                <c:pt idx="8">
                  <c:v>6153.1921433365733</c:v>
                </c:pt>
                <c:pt idx="9">
                  <c:v>6907.4361792243471</c:v>
                </c:pt>
                <c:pt idx="10">
                  <c:v>7280.1641444713505</c:v>
                </c:pt>
                <c:pt idx="11">
                  <c:v>7069.0169989753058</c:v>
                </c:pt>
                <c:pt idx="12">
                  <c:v>6339.0149467324436</c:v>
                </c:pt>
                <c:pt idx="13">
                  <c:v>6944.1259714514354</c:v>
                </c:pt>
                <c:pt idx="14">
                  <c:v>7374.1076976901677</c:v>
                </c:pt>
                <c:pt idx="15">
                  <c:v>7207.9354175568596</c:v>
                </c:pt>
                <c:pt idx="16">
                  <c:v>6539.1837362774313</c:v>
                </c:pt>
                <c:pt idx="17">
                  <c:v>7061.7128957932528</c:v>
                </c:pt>
                <c:pt idx="18">
                  <c:v>7446.0792608833926</c:v>
                </c:pt>
                <c:pt idx="19">
                  <c:v>7026.0244094624641</c:v>
                </c:pt>
                <c:pt idx="20">
                  <c:v>6235.5743519959988</c:v>
                </c:pt>
                <c:pt idx="21">
                  <c:v>6450.2875155407119</c:v>
                </c:pt>
                <c:pt idx="22">
                  <c:v>6655.989879471218</c:v>
                </c:pt>
                <c:pt idx="23">
                  <c:v>6493.0846284886275</c:v>
                </c:pt>
                <c:pt idx="24">
                  <c:v>5935.8194435762525</c:v>
                </c:pt>
                <c:pt idx="25">
                  <c:v>6353.0910088467845</c:v>
                </c:pt>
                <c:pt idx="26">
                  <c:v>6455.7424153300726</c:v>
                </c:pt>
                <c:pt idx="27">
                  <c:v>6280.7940712235277</c:v>
                </c:pt>
                <c:pt idx="28">
                  <c:v>5703.86932417549</c:v>
                </c:pt>
                <c:pt idx="29">
                  <c:v>6096.308792463381</c:v>
                </c:pt>
                <c:pt idx="30">
                  <c:v>6229.128748708119</c:v>
                </c:pt>
                <c:pt idx="31">
                  <c:v>5759.8615410677994</c:v>
                </c:pt>
                <c:pt idx="32">
                  <c:v>5162.2340472168153</c:v>
                </c:pt>
                <c:pt idx="33">
                  <c:v>5515.6941540669732</c:v>
                </c:pt>
                <c:pt idx="34">
                  <c:v>5483.7676228143901</c:v>
                </c:pt>
                <c:pt idx="35">
                  <c:v>5250.4237487568271</c:v>
                </c:pt>
                <c:pt idx="36">
                  <c:v>4940.5165969600857</c:v>
                </c:pt>
                <c:pt idx="37">
                  <c:v>5276.5129781484393</c:v>
                </c:pt>
                <c:pt idx="38">
                  <c:v>5388.2489067020515</c:v>
                </c:pt>
                <c:pt idx="39">
                  <c:v>5253.2191945463501</c:v>
                </c:pt>
                <c:pt idx="40">
                  <c:v>5067.097624151299</c:v>
                </c:pt>
                <c:pt idx="41">
                  <c:v>5185.9601100607952</c:v>
                </c:pt>
                <c:pt idx="42">
                  <c:v>4388.8362988011368</c:v>
                </c:pt>
                <c:pt idx="43">
                  <c:v>4866.476465524087</c:v>
                </c:pt>
                <c:pt idx="44">
                  <c:v>4812.4770344506605</c:v>
                </c:pt>
                <c:pt idx="45">
                  <c:v>5067.9050439739958</c:v>
                </c:pt>
                <c:pt idx="46">
                  <c:v>6259.070226322875</c:v>
                </c:pt>
                <c:pt idx="47">
                  <c:v>5917.3243449800921</c:v>
                </c:pt>
                <c:pt idx="48">
                  <c:v>5571.238941500791</c:v>
                </c:pt>
                <c:pt idx="49">
                  <c:v>5798.6669460533776</c:v>
                </c:pt>
                <c:pt idx="50">
                  <c:v>6282.0368019894377</c:v>
                </c:pt>
                <c:pt idx="51">
                  <c:v>5766.4406335404783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0B-4CCB-8694-D36995B1F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5295391"/>
        <c:axId val="685311711"/>
      </c:lineChart>
      <c:catAx>
        <c:axId val="68529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5311711"/>
        <c:crosses val="autoZero"/>
        <c:auto val="1"/>
        <c:lblAlgn val="ctr"/>
        <c:lblOffset val="100"/>
        <c:noMultiLvlLbl val="0"/>
      </c:catAx>
      <c:valAx>
        <c:axId val="685311711"/>
        <c:scaling>
          <c:orientation val="minMax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5295391"/>
        <c:crosses val="autoZero"/>
        <c:crossBetween val="between"/>
      </c:valAx>
      <c:spPr>
        <a:noFill/>
        <a:ln w="127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6350</xdr:rowOff>
    </xdr:from>
    <xdr:to>
      <xdr:col>13</xdr:col>
      <xdr:colOff>431800</xdr:colOff>
      <xdr:row>13</xdr:row>
      <xdr:rowOff>139700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3237F5F-20C4-4204-AED7-9AD58B6E5B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12700</xdr:colOff>
      <xdr:row>0</xdr:row>
      <xdr:rowOff>171450</xdr:rowOff>
    </xdr:from>
    <xdr:to>
      <xdr:col>21</xdr:col>
      <xdr:colOff>444500</xdr:colOff>
      <xdr:row>13</xdr:row>
      <xdr:rowOff>127000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FEBE60C-4F67-4C75-A61A-CB62CBB459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19050</xdr:colOff>
      <xdr:row>14</xdr:row>
      <xdr:rowOff>152400</xdr:rowOff>
    </xdr:from>
    <xdr:to>
      <xdr:col>21</xdr:col>
      <xdr:colOff>419100</xdr:colOff>
      <xdr:row>27</xdr:row>
      <xdr:rowOff>120650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5030FF11-C235-4011-B7D2-48AAF5D715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13</xdr:col>
      <xdr:colOff>431800</xdr:colOff>
      <xdr:row>27</xdr:row>
      <xdr:rowOff>133350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8A86D751-35D5-4C29-86E0-9372DBF7F5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E0150-FADC-4F8E-82D9-5AF4CC20A6D9}">
  <dimension ref="A1:BJ26"/>
  <sheetViews>
    <sheetView workbookViewId="0">
      <pane xSplit="1" ySplit="1" topLeftCell="AO2" activePane="bottomRight" state="frozen"/>
      <selection pane="topRight" activeCell="B1" sqref="B1"/>
      <selection pane="bottomLeft" activeCell="A6" sqref="A6"/>
      <selection pane="bottomRight" activeCell="AP5" sqref="AP5:AS5"/>
    </sheetView>
  </sheetViews>
  <sheetFormatPr defaultRowHeight="14"/>
  <cols>
    <col min="1" max="1" width="37.33203125" customWidth="1"/>
  </cols>
  <sheetData>
    <row r="1" spans="1:62" ht="14.5" thickBot="1">
      <c r="A1" s="2" t="s">
        <v>1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37</v>
      </c>
      <c r="V1" s="2" t="s">
        <v>38</v>
      </c>
      <c r="W1" s="2" t="s">
        <v>39</v>
      </c>
      <c r="X1" s="2" t="s">
        <v>40</v>
      </c>
      <c r="Y1" s="2" t="s">
        <v>41</v>
      </c>
      <c r="Z1" s="2" t="s">
        <v>42</v>
      </c>
      <c r="AA1" s="2" t="s">
        <v>43</v>
      </c>
      <c r="AB1" s="2" t="s">
        <v>44</v>
      </c>
      <c r="AC1" s="2" t="s">
        <v>45</v>
      </c>
      <c r="AD1" s="2" t="s">
        <v>46</v>
      </c>
      <c r="AE1" s="2" t="s">
        <v>47</v>
      </c>
      <c r="AF1" s="2" t="s">
        <v>48</v>
      </c>
      <c r="AG1" s="2" t="s">
        <v>49</v>
      </c>
      <c r="AH1" s="2" t="s">
        <v>50</v>
      </c>
      <c r="AI1" s="2" t="s">
        <v>51</v>
      </c>
      <c r="AJ1" s="2" t="s">
        <v>52</v>
      </c>
      <c r="AK1" s="2" t="s">
        <v>53</v>
      </c>
      <c r="AL1" s="2" t="s">
        <v>54</v>
      </c>
      <c r="AM1" s="2" t="s">
        <v>55</v>
      </c>
      <c r="AN1" s="2" t="s">
        <v>56</v>
      </c>
      <c r="AO1" s="2" t="s">
        <v>57</v>
      </c>
      <c r="AP1" s="2" t="s">
        <v>59</v>
      </c>
      <c r="AQ1" s="2" t="s">
        <v>60</v>
      </c>
      <c r="AR1" s="2" t="s">
        <v>61</v>
      </c>
      <c r="AS1" s="2" t="s">
        <v>62</v>
      </c>
      <c r="AT1" s="2" t="s">
        <v>63</v>
      </c>
      <c r="AU1" s="2" t="s">
        <v>68</v>
      </c>
      <c r="AV1" s="2" t="s">
        <v>69</v>
      </c>
      <c r="AW1" s="2" t="s">
        <v>67</v>
      </c>
      <c r="AX1" s="2" t="s">
        <v>71</v>
      </c>
      <c r="AY1" s="2" t="s">
        <v>75</v>
      </c>
      <c r="AZ1" s="2" t="s">
        <v>76</v>
      </c>
      <c r="BA1" s="2" t="s">
        <v>77</v>
      </c>
      <c r="BB1" s="2" t="s">
        <v>79</v>
      </c>
      <c r="BC1" s="2" t="s">
        <v>84</v>
      </c>
      <c r="BD1" s="2" t="s">
        <v>85</v>
      </c>
      <c r="BE1" s="2" t="s">
        <v>83</v>
      </c>
      <c r="BF1" s="2" t="s">
        <v>87</v>
      </c>
      <c r="BG1" s="2" t="s">
        <v>91</v>
      </c>
      <c r="BH1" s="2" t="s">
        <v>92</v>
      </c>
      <c r="BI1" s="2" t="s">
        <v>93</v>
      </c>
    </row>
    <row r="2" spans="1:62">
      <c r="A2" s="4" t="s">
        <v>2</v>
      </c>
      <c r="B2" s="1"/>
      <c r="C2" s="1"/>
      <c r="D2" s="1"/>
      <c r="E2" s="1" t="s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</row>
    <row r="3" spans="1:62" ht="48" customHeight="1">
      <c r="A3" s="5" t="s">
        <v>3</v>
      </c>
      <c r="B3" s="6">
        <v>3803.1</v>
      </c>
      <c r="C3" s="6">
        <v>4013.4</v>
      </c>
      <c r="D3" s="6">
        <v>4246.6000000000004</v>
      </c>
      <c r="E3" s="6">
        <v>4170.1999999999989</v>
      </c>
      <c r="F3" s="6">
        <v>4152.7</v>
      </c>
      <c r="G3" s="6">
        <v>4697.3999999999996</v>
      </c>
      <c r="H3" s="6">
        <v>4855.5</v>
      </c>
      <c r="I3" s="6">
        <v>4587.2000000000007</v>
      </c>
      <c r="J3" s="6">
        <v>4432.2</v>
      </c>
      <c r="K3" s="6">
        <v>4673.5</v>
      </c>
      <c r="L3" s="6">
        <v>4838.3999999999996</v>
      </c>
      <c r="M3" s="6">
        <v>4658.3999999999996</v>
      </c>
      <c r="N3" s="6">
        <v>4445.3999999999996</v>
      </c>
      <c r="O3" s="6">
        <v>4761.3999999999996</v>
      </c>
      <c r="P3" s="6">
        <v>4923.1000000000004</v>
      </c>
      <c r="Q3" s="6">
        <v>4744.3000000000011</v>
      </c>
      <c r="R3" s="6">
        <v>4490.5</v>
      </c>
      <c r="S3" s="6">
        <v>4785.8999999999996</v>
      </c>
      <c r="T3" s="6">
        <v>4596.2</v>
      </c>
      <c r="U3" s="6">
        <v>4296.7000000000007</v>
      </c>
      <c r="V3" s="6">
        <v>3914.1</v>
      </c>
      <c r="W3" s="6">
        <v>4261.1000000000004</v>
      </c>
      <c r="X3" s="6">
        <v>4282.8999999999996</v>
      </c>
      <c r="Y3" s="6">
        <v>4030.1999999999989</v>
      </c>
      <c r="Z3" s="6">
        <v>3753.5</v>
      </c>
      <c r="AA3" s="6">
        <v>3916.6</v>
      </c>
      <c r="AB3" s="6">
        <v>3972.1</v>
      </c>
      <c r="AC3" s="6">
        <v>3652.7999999999993</v>
      </c>
      <c r="AD3" s="6">
        <v>3411.9</v>
      </c>
      <c r="AE3" s="6">
        <v>3569.6</v>
      </c>
      <c r="AF3" s="6">
        <v>3064.3</v>
      </c>
      <c r="AG3" s="6">
        <v>2673.1000000000004</v>
      </c>
      <c r="AH3" s="6">
        <v>2535.6</v>
      </c>
      <c r="AI3" s="6">
        <v>2594.9</v>
      </c>
      <c r="AJ3" s="6">
        <v>2511</v>
      </c>
      <c r="AK3" s="6">
        <v>2371.2000000000007</v>
      </c>
      <c r="AL3" s="6">
        <v>2240.5</v>
      </c>
      <c r="AM3" s="6">
        <v>2400.4</v>
      </c>
      <c r="AN3" s="6">
        <v>2416.6</v>
      </c>
      <c r="AO3" s="6">
        <v>2363.2999999999993</v>
      </c>
      <c r="AP3" s="6">
        <v>2025.8</v>
      </c>
      <c r="AQ3" s="6">
        <v>1593.7</v>
      </c>
      <c r="AR3" s="6">
        <v>2286.4</v>
      </c>
      <c r="AS3" s="6">
        <v>2233.1000000000004</v>
      </c>
      <c r="AT3" s="6">
        <v>2161.5</v>
      </c>
      <c r="AU3" s="6">
        <v>2488.6999999999998</v>
      </c>
      <c r="AV3" s="6">
        <v>2598.4</v>
      </c>
      <c r="AW3" s="6">
        <v>2538.3999999999996</v>
      </c>
      <c r="AX3" s="6">
        <v>2302.4</v>
      </c>
      <c r="AY3" s="6">
        <v>2112.8000000000002</v>
      </c>
      <c r="AZ3" s="6">
        <v>2124.8000000000002</v>
      </c>
      <c r="BA3" s="6">
        <v>3246.9999999999991</v>
      </c>
      <c r="BB3" s="6">
        <v>2224.3000000000002</v>
      </c>
      <c r="BC3" s="6">
        <v>2487</v>
      </c>
      <c r="BD3" s="6">
        <v>2556.1999999999998</v>
      </c>
      <c r="BE3" s="6">
        <v>2474.5</v>
      </c>
      <c r="BF3" s="6">
        <v>2355</v>
      </c>
      <c r="BG3" s="6">
        <v>2461</v>
      </c>
      <c r="BH3" s="6">
        <v>2656</v>
      </c>
      <c r="BI3" s="6">
        <v>2310</v>
      </c>
      <c r="BJ3" s="34"/>
    </row>
    <row r="4" spans="1:62" ht="14.5" customHeight="1">
      <c r="A4" s="5" t="s">
        <v>4</v>
      </c>
      <c r="B4" s="6">
        <v>1807</v>
      </c>
      <c r="C4" s="6">
        <v>1932.1</v>
      </c>
      <c r="D4" s="6">
        <v>2058.3000000000002</v>
      </c>
      <c r="E4" s="6">
        <v>2043.9000000000005</v>
      </c>
      <c r="F4" s="6">
        <v>1958.9</v>
      </c>
      <c r="G4" s="6">
        <v>2208</v>
      </c>
      <c r="H4" s="6">
        <v>2310.8000000000002</v>
      </c>
      <c r="I4" s="6">
        <v>2235.5000000000009</v>
      </c>
      <c r="J4" s="6">
        <v>2114.4</v>
      </c>
      <c r="K4" s="6">
        <v>2242.4</v>
      </c>
      <c r="L4" s="6">
        <v>2314</v>
      </c>
      <c r="M4" s="6">
        <v>2293.6999999999998</v>
      </c>
      <c r="N4" s="6">
        <v>2159.9</v>
      </c>
      <c r="O4" s="6">
        <v>2322.4</v>
      </c>
      <c r="P4" s="6">
        <v>2400.3000000000002</v>
      </c>
      <c r="Q4" s="6">
        <v>2348.8999999999996</v>
      </c>
      <c r="R4" s="6">
        <v>2209.8000000000002</v>
      </c>
      <c r="S4" s="6">
        <v>2395.8000000000002</v>
      </c>
      <c r="T4" s="6">
        <v>2390.9</v>
      </c>
      <c r="U4" s="6">
        <v>2275.5</v>
      </c>
      <c r="V4" s="6">
        <v>2044.8</v>
      </c>
      <c r="W4" s="6">
        <v>2236.6</v>
      </c>
      <c r="X4" s="6">
        <v>2332.1999999999998</v>
      </c>
      <c r="Y4" s="6">
        <v>2311.1000000000013</v>
      </c>
      <c r="Z4" s="6">
        <v>2150.4</v>
      </c>
      <c r="AA4" s="6">
        <v>2348.4</v>
      </c>
      <c r="AB4" s="6">
        <v>2452</v>
      </c>
      <c r="AC4" s="6">
        <v>2376.0999999999995</v>
      </c>
      <c r="AD4" s="6">
        <v>2264</v>
      </c>
      <c r="AE4" s="6">
        <v>2480.1</v>
      </c>
      <c r="AF4" s="6">
        <v>2690.3</v>
      </c>
      <c r="AG4" s="6">
        <v>2667.0999999999995</v>
      </c>
      <c r="AH4" s="6">
        <v>2603.3000000000002</v>
      </c>
      <c r="AI4" s="6">
        <v>2759</v>
      </c>
      <c r="AJ4" s="6">
        <v>2858.4</v>
      </c>
      <c r="AK4" s="6">
        <v>2791.7999999999993</v>
      </c>
      <c r="AL4" s="6">
        <v>2715.1</v>
      </c>
      <c r="AM4" s="6">
        <v>2940.9</v>
      </c>
      <c r="AN4" s="6">
        <v>3014</v>
      </c>
      <c r="AO4" s="6">
        <v>2985.7000000000007</v>
      </c>
      <c r="AP4" s="6">
        <v>2608</v>
      </c>
      <c r="AQ4" s="6">
        <v>2088</v>
      </c>
      <c r="AR4" s="6">
        <v>3044.8</v>
      </c>
      <c r="AS4" s="6">
        <v>2985.2</v>
      </c>
      <c r="AT4" s="6">
        <v>2877.4</v>
      </c>
      <c r="AU4" s="6">
        <v>3306.2</v>
      </c>
      <c r="AV4" s="6">
        <v>3510.2</v>
      </c>
      <c r="AW4" s="6">
        <v>3391.2000000000007</v>
      </c>
      <c r="AX4" s="6">
        <v>3262.8</v>
      </c>
      <c r="AY4" s="6">
        <v>3526.8</v>
      </c>
      <c r="AZ4" s="6">
        <v>3671.2</v>
      </c>
      <c r="BA4" s="6">
        <v>2624.2000000000007</v>
      </c>
      <c r="BB4" s="6">
        <v>3587.5</v>
      </c>
      <c r="BC4" s="6">
        <v>3933.3</v>
      </c>
      <c r="BD4" s="6">
        <v>4047.1</v>
      </c>
      <c r="BE4" s="6">
        <v>3868.1000000000004</v>
      </c>
      <c r="BF4" s="6">
        <v>3723</v>
      </c>
      <c r="BG4" s="6">
        <v>3940</v>
      </c>
      <c r="BH4" s="6">
        <v>4094</v>
      </c>
      <c r="BI4" s="6">
        <v>3958</v>
      </c>
      <c r="BJ4" s="34"/>
    </row>
    <row r="5" spans="1:62" ht="14.5" customHeight="1" thickBot="1">
      <c r="A5" s="7" t="s">
        <v>58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>
        <v>80.599999999999994</v>
      </c>
      <c r="AQ5" s="8">
        <v>79.8</v>
      </c>
      <c r="AR5" s="8">
        <v>86.9</v>
      </c>
      <c r="AS5" s="8">
        <v>95.700000000000017</v>
      </c>
      <c r="AT5" s="8">
        <v>85.7</v>
      </c>
      <c r="AU5" s="8">
        <v>93</v>
      </c>
      <c r="AV5" s="8">
        <v>92.7</v>
      </c>
      <c r="AW5" s="8">
        <v>79.600000000000023</v>
      </c>
      <c r="AX5" s="8">
        <v>100.4</v>
      </c>
      <c r="AY5" s="8">
        <v>78.8</v>
      </c>
      <c r="AZ5" s="8">
        <v>76.099999999999994</v>
      </c>
      <c r="BA5" s="8">
        <v>95.700000000000017</v>
      </c>
      <c r="BB5" s="8">
        <v>86</v>
      </c>
      <c r="BC5" s="8">
        <v>77.2</v>
      </c>
      <c r="BD5" s="8">
        <v>88.9</v>
      </c>
      <c r="BE5" s="8">
        <v>63.900000000000006</v>
      </c>
      <c r="BF5" s="8">
        <v>91</v>
      </c>
      <c r="BG5" s="8">
        <v>89</v>
      </c>
      <c r="BH5" s="8">
        <v>124</v>
      </c>
      <c r="BI5" s="8">
        <v>119</v>
      </c>
      <c r="BJ5" s="31"/>
    </row>
    <row r="6" spans="1:62" ht="48.5" customHeight="1" thickBot="1">
      <c r="A6" s="9" t="s">
        <v>5</v>
      </c>
      <c r="B6" s="8">
        <v>5610.1</v>
      </c>
      <c r="C6" s="8">
        <v>5945.5</v>
      </c>
      <c r="D6" s="8">
        <v>6304.9</v>
      </c>
      <c r="E6" s="8">
        <v>6214.0999999999985</v>
      </c>
      <c r="F6" s="8">
        <v>6111.6</v>
      </c>
      <c r="G6" s="8">
        <v>6905.4</v>
      </c>
      <c r="H6" s="8">
        <v>7166.3</v>
      </c>
      <c r="I6" s="8">
        <v>6822.7000000000007</v>
      </c>
      <c r="J6" s="8">
        <v>6546.6</v>
      </c>
      <c r="K6" s="8">
        <v>6915.9</v>
      </c>
      <c r="L6" s="8">
        <v>7152.4</v>
      </c>
      <c r="M6" s="8">
        <v>6952.0999999999985</v>
      </c>
      <c r="N6" s="8">
        <v>6605.3</v>
      </c>
      <c r="O6" s="8">
        <v>7083.8</v>
      </c>
      <c r="P6" s="8">
        <v>7323.4</v>
      </c>
      <c r="Q6" s="8">
        <v>7093.2000000000007</v>
      </c>
      <c r="R6" s="8">
        <v>6700.3</v>
      </c>
      <c r="S6" s="8">
        <v>7181.7</v>
      </c>
      <c r="T6" s="8">
        <v>6987.1</v>
      </c>
      <c r="U6" s="8">
        <v>6572.2000000000007</v>
      </c>
      <c r="V6" s="8">
        <v>5958.9</v>
      </c>
      <c r="W6" s="8">
        <v>6497.7</v>
      </c>
      <c r="X6" s="8">
        <v>6615.1</v>
      </c>
      <c r="Y6" s="8">
        <v>6341.3000000000029</v>
      </c>
      <c r="Z6" s="8">
        <v>5903.9</v>
      </c>
      <c r="AA6" s="8">
        <v>6265</v>
      </c>
      <c r="AB6" s="8">
        <v>6424.1</v>
      </c>
      <c r="AC6" s="8">
        <v>6028.9000000000015</v>
      </c>
      <c r="AD6" s="8">
        <v>5675.9</v>
      </c>
      <c r="AE6" s="8">
        <v>6049.7</v>
      </c>
      <c r="AF6" s="8">
        <v>5754.6</v>
      </c>
      <c r="AG6" s="8">
        <v>5340.2000000000044</v>
      </c>
      <c r="AH6" s="8">
        <v>5138.8999999999996</v>
      </c>
      <c r="AI6" s="8">
        <v>5353.9</v>
      </c>
      <c r="AJ6" s="8">
        <v>5369.4</v>
      </c>
      <c r="AK6" s="8">
        <v>5163.0000000000018</v>
      </c>
      <c r="AL6" s="8">
        <v>4955.6000000000004</v>
      </c>
      <c r="AM6" s="8">
        <v>5341.3</v>
      </c>
      <c r="AN6" s="8">
        <v>5430.6</v>
      </c>
      <c r="AO6" s="8">
        <v>5348.9999999999982</v>
      </c>
      <c r="AP6" s="8">
        <v>4714.3999999999996</v>
      </c>
      <c r="AQ6" s="8">
        <v>3761.5</v>
      </c>
      <c r="AR6" s="8">
        <v>5418.1</v>
      </c>
      <c r="AS6" s="8">
        <v>5314</v>
      </c>
      <c r="AT6" s="8">
        <v>5124.6000000000004</v>
      </c>
      <c r="AU6" s="8">
        <v>5887.9</v>
      </c>
      <c r="AV6" s="8">
        <v>6201.3</v>
      </c>
      <c r="AW6" s="8">
        <v>6009.2000000000007</v>
      </c>
      <c r="AX6" s="8">
        <v>5665.6</v>
      </c>
      <c r="AY6" s="8">
        <v>5718.4</v>
      </c>
      <c r="AZ6" s="8">
        <v>5872.1</v>
      </c>
      <c r="BA6" s="8">
        <v>5966.9000000000015</v>
      </c>
      <c r="BB6" s="8">
        <v>5897.8</v>
      </c>
      <c r="BC6" s="8">
        <v>6497.5</v>
      </c>
      <c r="BD6" s="8">
        <v>6692.2</v>
      </c>
      <c r="BE6" s="8">
        <v>6406.5</v>
      </c>
      <c r="BF6" s="8">
        <v>6169</v>
      </c>
      <c r="BG6" s="8">
        <v>6490</v>
      </c>
      <c r="BH6" s="8">
        <v>6873</v>
      </c>
      <c r="BI6" s="8">
        <v>6388</v>
      </c>
      <c r="BJ6" s="37"/>
    </row>
    <row r="7" spans="1:62" ht="14" customHeight="1">
      <c r="A7" s="4" t="s">
        <v>183</v>
      </c>
      <c r="B7" s="69">
        <f>SUM(B8:B13)</f>
        <v>3936</v>
      </c>
      <c r="C7" s="69">
        <f t="shared" ref="C7:D7" si="0">SUM(C8:C13)</f>
        <v>4100.2</v>
      </c>
      <c r="D7" s="69">
        <f t="shared" si="0"/>
        <v>4208.4000000000005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>
        <v>0</v>
      </c>
      <c r="BJ7" s="27"/>
    </row>
    <row r="8" spans="1:62" ht="14" customHeight="1">
      <c r="A8" s="5" t="s">
        <v>6</v>
      </c>
      <c r="B8" s="6">
        <v>3110.9</v>
      </c>
      <c r="C8" s="6">
        <v>3214.8</v>
      </c>
      <c r="D8" s="6">
        <v>3354</v>
      </c>
      <c r="E8" s="6">
        <v>3379.7999999999993</v>
      </c>
      <c r="F8" s="6">
        <v>3416.7</v>
      </c>
      <c r="G8" s="6">
        <v>3806.8</v>
      </c>
      <c r="H8" s="6">
        <v>3883.3</v>
      </c>
      <c r="I8" s="6">
        <v>3731.1000000000004</v>
      </c>
      <c r="J8" s="6">
        <v>3654.4</v>
      </c>
      <c r="K8" s="6">
        <v>3823.8</v>
      </c>
      <c r="L8" s="6">
        <v>3914.4</v>
      </c>
      <c r="M8" s="6">
        <v>3831.1000000000031</v>
      </c>
      <c r="N8" s="6">
        <v>3726</v>
      </c>
      <c r="O8" s="6">
        <v>3919.5</v>
      </c>
      <c r="P8" s="6">
        <v>4004.4</v>
      </c>
      <c r="Q8" s="6">
        <v>3928.7000000000025</v>
      </c>
      <c r="R8" s="6">
        <v>3767.1</v>
      </c>
      <c r="S8" s="6">
        <v>3969.8</v>
      </c>
      <c r="T8" s="6">
        <v>3874.7</v>
      </c>
      <c r="U8" s="6">
        <v>3676.7000000000025</v>
      </c>
      <c r="V8" s="6">
        <v>3354.3</v>
      </c>
      <c r="W8" s="6">
        <v>3596.3</v>
      </c>
      <c r="X8" s="6">
        <v>3607.7</v>
      </c>
      <c r="Y8" s="6">
        <v>3418.6000000000022</v>
      </c>
      <c r="Z8" s="6">
        <v>3175.3</v>
      </c>
      <c r="AA8" s="6">
        <v>3248.1</v>
      </c>
      <c r="AB8" s="6">
        <v>3239.5</v>
      </c>
      <c r="AC8" s="6">
        <v>3035.8999999999996</v>
      </c>
      <c r="AD8" s="6">
        <v>2816.4</v>
      </c>
      <c r="AE8" s="6">
        <v>2903.3</v>
      </c>
      <c r="AF8" s="6">
        <v>2479.8000000000002</v>
      </c>
      <c r="AG8" s="6">
        <v>2210.1000000000004</v>
      </c>
      <c r="AH8" s="6">
        <v>2130.9</v>
      </c>
      <c r="AI8" s="6">
        <v>2130.5</v>
      </c>
      <c r="AJ8" s="6">
        <v>2047.9</v>
      </c>
      <c r="AK8" s="6">
        <v>1956.6000000000022</v>
      </c>
      <c r="AL8" s="6">
        <v>1886.2</v>
      </c>
      <c r="AM8" s="6">
        <v>1967.1</v>
      </c>
      <c r="AN8" s="6">
        <v>1967.7</v>
      </c>
      <c r="AO8" s="6">
        <v>1939.6000000000004</v>
      </c>
      <c r="AP8" s="6">
        <v>1752.8</v>
      </c>
      <c r="AQ8" s="6">
        <v>1448.4</v>
      </c>
      <c r="AR8" s="6">
        <v>1876.3</v>
      </c>
      <c r="AS8" s="6">
        <v>1903.5</v>
      </c>
      <c r="AT8" s="6">
        <v>1817.6</v>
      </c>
      <c r="AU8" s="6">
        <v>2021</v>
      </c>
      <c r="AV8" s="6">
        <v>2108.4</v>
      </c>
      <c r="AW8" s="6">
        <v>2100</v>
      </c>
      <c r="AX8" s="6">
        <v>1959.2</v>
      </c>
      <c r="AY8" s="6">
        <v>1769.8</v>
      </c>
      <c r="AZ8" s="6">
        <v>1779.6</v>
      </c>
      <c r="BA8" s="6">
        <v>2538.3999999999996</v>
      </c>
      <c r="BB8" s="6">
        <v>1923.1</v>
      </c>
      <c r="BC8" s="6">
        <v>2091.3000000000002</v>
      </c>
      <c r="BD8" s="6">
        <v>2135</v>
      </c>
      <c r="BE8" s="6">
        <v>2074.6000000000004</v>
      </c>
      <c r="BF8" s="6">
        <v>2035</v>
      </c>
      <c r="BG8" s="6">
        <v>2074</v>
      </c>
      <c r="BH8" s="6">
        <v>2248</v>
      </c>
      <c r="BI8" s="6">
        <v>1977</v>
      </c>
      <c r="BJ8" s="34"/>
    </row>
    <row r="9" spans="1:62">
      <c r="A9" s="5" t="s">
        <v>195</v>
      </c>
      <c r="B9" s="10">
        <v>339.3</v>
      </c>
      <c r="C9" s="10">
        <v>334.3</v>
      </c>
      <c r="D9" s="10">
        <v>344.4</v>
      </c>
      <c r="E9" s="10">
        <v>359.79999999999995</v>
      </c>
      <c r="F9" s="10">
        <v>354.3</v>
      </c>
      <c r="G9" s="10">
        <v>373</v>
      </c>
      <c r="H9" s="10">
        <v>376.2</v>
      </c>
      <c r="I9" s="10">
        <v>378</v>
      </c>
      <c r="J9" s="10">
        <v>374.7</v>
      </c>
      <c r="K9" s="10">
        <v>376.2</v>
      </c>
      <c r="L9" s="10">
        <v>383.4</v>
      </c>
      <c r="M9" s="10">
        <v>392.70000000000005</v>
      </c>
      <c r="N9" s="10">
        <v>395.2</v>
      </c>
      <c r="O9" s="10">
        <v>399.1</v>
      </c>
      <c r="P9" s="10">
        <v>408.4</v>
      </c>
      <c r="Q9" s="10">
        <v>421.70000000000027</v>
      </c>
      <c r="R9" s="10">
        <v>417.1</v>
      </c>
      <c r="S9" s="10">
        <v>427.6</v>
      </c>
      <c r="T9" s="10">
        <v>431.2</v>
      </c>
      <c r="U9" s="10">
        <v>421.39999999999986</v>
      </c>
      <c r="V9" s="10">
        <v>403.6</v>
      </c>
      <c r="W9" s="10">
        <v>411</v>
      </c>
      <c r="X9" s="10">
        <v>416.1</v>
      </c>
      <c r="Y9" s="10">
        <v>416.20000000000005</v>
      </c>
      <c r="Z9" s="10">
        <v>415.1</v>
      </c>
      <c r="AA9" s="10">
        <v>430.9</v>
      </c>
      <c r="AB9" s="10">
        <v>437.6</v>
      </c>
      <c r="AC9" s="10">
        <v>434.80000000000018</v>
      </c>
      <c r="AD9" s="10">
        <v>430.1</v>
      </c>
      <c r="AE9" s="10">
        <v>438</v>
      </c>
      <c r="AF9" s="10">
        <v>457.3</v>
      </c>
      <c r="AG9" s="10">
        <v>464.59999999999991</v>
      </c>
      <c r="AH9" s="10">
        <v>480.3</v>
      </c>
      <c r="AI9" s="10">
        <v>483.9</v>
      </c>
      <c r="AJ9" s="10">
        <v>499.4</v>
      </c>
      <c r="AK9" s="10">
        <v>509.70000000000005</v>
      </c>
      <c r="AL9" s="10">
        <v>533.1</v>
      </c>
      <c r="AM9" s="10">
        <v>544.70000000000005</v>
      </c>
      <c r="AN9" s="10">
        <v>559.5</v>
      </c>
      <c r="AO9" s="10">
        <v>563.29999999999973</v>
      </c>
      <c r="AP9" s="10">
        <v>554.20000000000005</v>
      </c>
      <c r="AQ9" s="10">
        <v>524.5</v>
      </c>
      <c r="AR9" s="10">
        <v>567.9</v>
      </c>
      <c r="AS9" s="10">
        <v>561.40000000000009</v>
      </c>
      <c r="AT9" s="10">
        <v>571.5</v>
      </c>
      <c r="AU9" s="10">
        <v>579.1</v>
      </c>
      <c r="AV9" s="10">
        <v>592.6</v>
      </c>
      <c r="AW9" s="10">
        <v>591.80000000000018</v>
      </c>
      <c r="AX9" s="10">
        <v>584</v>
      </c>
      <c r="AY9" s="10">
        <v>588.6</v>
      </c>
      <c r="AZ9" s="10">
        <v>589</v>
      </c>
      <c r="BA9" s="10">
        <v>573.40000000000009</v>
      </c>
      <c r="BB9" s="10">
        <v>598.29999999999995</v>
      </c>
      <c r="BC9" s="10">
        <v>618.20000000000005</v>
      </c>
      <c r="BD9" s="10">
        <v>625.4</v>
      </c>
      <c r="BE9" s="10">
        <v>633.09999999999991</v>
      </c>
      <c r="BF9" s="10">
        <v>627</v>
      </c>
      <c r="BG9" s="10">
        <v>629</v>
      </c>
      <c r="BH9" s="10">
        <v>646</v>
      </c>
      <c r="BI9" s="10">
        <v>634</v>
      </c>
      <c r="BJ9" s="34"/>
    </row>
    <row r="10" spans="1:62">
      <c r="A10" s="5" t="s">
        <v>66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>
        <v>65.5</v>
      </c>
      <c r="AQ10" s="10">
        <v>63.3</v>
      </c>
      <c r="AR10" s="10">
        <v>69.2</v>
      </c>
      <c r="AS10" s="10">
        <v>69</v>
      </c>
      <c r="AT10" s="10">
        <v>67.2</v>
      </c>
      <c r="AU10" s="10">
        <v>68.3</v>
      </c>
      <c r="AV10" s="10">
        <v>68.900000000000006</v>
      </c>
      <c r="AW10" s="10">
        <v>55.599999999999994</v>
      </c>
      <c r="AX10" s="10">
        <v>72.3</v>
      </c>
      <c r="AY10" s="10">
        <v>57.9</v>
      </c>
      <c r="AZ10" s="10">
        <v>57.4</v>
      </c>
      <c r="BA10" s="10">
        <v>72.400000000000006</v>
      </c>
      <c r="BB10" s="10">
        <v>62.8</v>
      </c>
      <c r="BC10" s="10">
        <v>57</v>
      </c>
      <c r="BD10" s="10">
        <v>68.099999999999994</v>
      </c>
      <c r="BE10" s="10">
        <v>44.100000000000023</v>
      </c>
      <c r="BF10" s="10">
        <v>68</v>
      </c>
      <c r="BG10" s="10">
        <v>69</v>
      </c>
      <c r="BH10" s="10">
        <v>104</v>
      </c>
      <c r="BI10" s="10">
        <v>98</v>
      </c>
      <c r="BJ10" s="33"/>
    </row>
    <row r="11" spans="1:62">
      <c r="A11" s="5" t="s">
        <v>7</v>
      </c>
      <c r="B11" s="10">
        <v>546.29999999999995</v>
      </c>
      <c r="C11" s="10">
        <v>564.9</v>
      </c>
      <c r="D11" s="10">
        <v>556.29999999999995</v>
      </c>
      <c r="E11" s="10">
        <v>665.80000000000041</v>
      </c>
      <c r="F11" s="10">
        <v>563.6</v>
      </c>
      <c r="G11" s="10">
        <v>588</v>
      </c>
      <c r="H11" s="10">
        <v>580.9</v>
      </c>
      <c r="I11" s="10">
        <v>661.19999999999982</v>
      </c>
      <c r="J11" s="10">
        <v>592.5</v>
      </c>
      <c r="K11" s="10">
        <v>617.29999999999995</v>
      </c>
      <c r="L11" s="10">
        <v>620.9</v>
      </c>
      <c r="M11" s="10">
        <v>624.5</v>
      </c>
      <c r="N11" s="10">
        <v>596.5</v>
      </c>
      <c r="O11" s="10">
        <v>607</v>
      </c>
      <c r="P11" s="10">
        <v>554.29999999999995</v>
      </c>
      <c r="Q11" s="10">
        <v>627.79999999999995</v>
      </c>
      <c r="R11" s="10">
        <v>620.4</v>
      </c>
      <c r="S11" s="10">
        <v>629.20000000000005</v>
      </c>
      <c r="T11" s="10">
        <v>575.79999999999995</v>
      </c>
      <c r="U11" s="10">
        <v>662.50000000000023</v>
      </c>
      <c r="V11" s="10">
        <v>582.79999999999995</v>
      </c>
      <c r="W11" s="10">
        <v>592.4</v>
      </c>
      <c r="X11" s="10">
        <v>584</v>
      </c>
      <c r="Y11" s="10">
        <v>675.10000000000036</v>
      </c>
      <c r="Z11" s="10">
        <v>578</v>
      </c>
      <c r="AA11" s="10">
        <v>596.1</v>
      </c>
      <c r="AB11" s="10">
        <v>582.9</v>
      </c>
      <c r="AC11" s="10">
        <v>627.5</v>
      </c>
      <c r="AD11" s="10">
        <v>521.29999999999995</v>
      </c>
      <c r="AE11" s="10">
        <v>525.4</v>
      </c>
      <c r="AF11" s="10">
        <v>567</v>
      </c>
      <c r="AG11" s="10">
        <v>617.60000000000036</v>
      </c>
      <c r="AH11" s="10">
        <v>533.1</v>
      </c>
      <c r="AI11" s="10">
        <v>542.1</v>
      </c>
      <c r="AJ11" s="10">
        <v>515.20000000000005</v>
      </c>
      <c r="AK11" s="10">
        <v>609.79999999999973</v>
      </c>
      <c r="AL11" s="10">
        <v>499.1</v>
      </c>
      <c r="AM11" s="10">
        <v>533.1</v>
      </c>
      <c r="AN11" s="10">
        <v>543.6</v>
      </c>
      <c r="AO11" s="10">
        <v>653.59999999999991</v>
      </c>
      <c r="AP11" s="10">
        <v>589.79999999999995</v>
      </c>
      <c r="AQ11" s="10">
        <v>647</v>
      </c>
      <c r="AR11" s="10">
        <v>530.5</v>
      </c>
      <c r="AS11" s="10">
        <v>778.7</v>
      </c>
      <c r="AT11" s="10">
        <v>566.4</v>
      </c>
      <c r="AU11" s="10">
        <v>655.5</v>
      </c>
      <c r="AV11" s="10">
        <v>643.70000000000005</v>
      </c>
      <c r="AW11" s="10">
        <v>842.39999999999986</v>
      </c>
      <c r="AX11" s="10">
        <v>677</v>
      </c>
      <c r="AY11" s="10">
        <v>704.2</v>
      </c>
      <c r="AZ11" s="10">
        <v>669.69999999999993</v>
      </c>
      <c r="BA11" s="10">
        <v>657.09999999999991</v>
      </c>
      <c r="BB11" s="10">
        <v>652.59999999999991</v>
      </c>
      <c r="BC11" s="10">
        <v>662.7</v>
      </c>
      <c r="BD11" s="10">
        <v>680.2</v>
      </c>
      <c r="BE11" s="10">
        <v>821.5</v>
      </c>
      <c r="BF11" s="10">
        <v>721</v>
      </c>
      <c r="BG11" s="10">
        <v>691</v>
      </c>
      <c r="BH11" s="10">
        <v>647</v>
      </c>
      <c r="BI11" s="10">
        <v>800</v>
      </c>
      <c r="BJ11" s="26"/>
    </row>
    <row r="12" spans="1:62" ht="35.5" customHeight="1">
      <c r="A12" s="5" t="s">
        <v>8</v>
      </c>
      <c r="B12" s="10">
        <v>30.8</v>
      </c>
      <c r="C12" s="10">
        <v>6.8</v>
      </c>
      <c r="D12" s="10">
        <v>3.6</v>
      </c>
      <c r="E12" s="10">
        <v>-12.100000000000001</v>
      </c>
      <c r="F12" s="10"/>
      <c r="G12" s="10">
        <v>2.4</v>
      </c>
      <c r="H12" s="10">
        <v>-6.6</v>
      </c>
      <c r="I12" s="10">
        <v>0.29999999999999938</v>
      </c>
      <c r="J12" s="10"/>
      <c r="K12" s="10"/>
      <c r="L12" s="10">
        <v>6.2</v>
      </c>
      <c r="M12" s="10">
        <v>1.7999999999999998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>
        <v>0</v>
      </c>
      <c r="BJ12" s="33"/>
    </row>
    <row r="13" spans="1:62" ht="14.5" thickBot="1">
      <c r="A13" s="7" t="s">
        <v>9</v>
      </c>
      <c r="B13" s="11">
        <v>-91.3</v>
      </c>
      <c r="C13" s="11">
        <v>-20.6</v>
      </c>
      <c r="D13" s="11">
        <v>-49.9</v>
      </c>
      <c r="E13" s="11">
        <v>-36.399999999999977</v>
      </c>
      <c r="F13" s="11">
        <v>-48.9</v>
      </c>
      <c r="G13" s="11">
        <v>-53.9</v>
      </c>
      <c r="H13" s="11">
        <v>-62.2</v>
      </c>
      <c r="I13" s="11">
        <v>-67.900000000000006</v>
      </c>
      <c r="J13" s="11">
        <v>-39.6</v>
      </c>
      <c r="K13" s="11">
        <v>-56.4</v>
      </c>
      <c r="L13" s="11">
        <v>-59.7</v>
      </c>
      <c r="M13" s="11">
        <v>-95.800000000000011</v>
      </c>
      <c r="N13" s="11">
        <v>-61.9</v>
      </c>
      <c r="O13" s="11">
        <v>-39.5</v>
      </c>
      <c r="P13" s="11">
        <v>-60.4</v>
      </c>
      <c r="Q13" s="11">
        <v>-85.4</v>
      </c>
      <c r="R13" s="11">
        <v>-40.299999999999997</v>
      </c>
      <c r="S13" s="11">
        <v>-33.9</v>
      </c>
      <c r="T13" s="11">
        <v>32.9</v>
      </c>
      <c r="U13" s="11">
        <v>59.899999999999991</v>
      </c>
      <c r="V13" s="11">
        <v>232.7</v>
      </c>
      <c r="W13" s="11">
        <v>48.7</v>
      </c>
      <c r="X13" s="11">
        <v>-23</v>
      </c>
      <c r="Y13" s="11">
        <v>-48.999999999999972</v>
      </c>
      <c r="Z13" s="11">
        <v>-44.8</v>
      </c>
      <c r="AA13" s="11">
        <v>132</v>
      </c>
      <c r="AB13" s="11">
        <v>26.8</v>
      </c>
      <c r="AC13" s="11">
        <v>-38.299999999999997</v>
      </c>
      <c r="AD13" s="11">
        <v>-125.9</v>
      </c>
      <c r="AE13" s="11">
        <v>-112.1</v>
      </c>
      <c r="AF13" s="11">
        <v>-828.9</v>
      </c>
      <c r="AG13" s="11">
        <v>-96.299999999999955</v>
      </c>
      <c r="AH13" s="11">
        <v>-148.5</v>
      </c>
      <c r="AI13" s="11">
        <v>-64.900000000000006</v>
      </c>
      <c r="AJ13" s="11">
        <v>-110.8</v>
      </c>
      <c r="AK13" s="11">
        <v>87.399999999999977</v>
      </c>
      <c r="AL13" s="11">
        <v>-56.8</v>
      </c>
      <c r="AM13" s="11">
        <v>22.5</v>
      </c>
      <c r="AN13" s="11">
        <v>-49.5</v>
      </c>
      <c r="AO13" s="11">
        <v>-100.10000000000001</v>
      </c>
      <c r="AP13" s="11">
        <v>58.5</v>
      </c>
      <c r="AQ13" s="11">
        <v>117.2</v>
      </c>
      <c r="AR13" s="11">
        <v>-152.19999999999999</v>
      </c>
      <c r="AS13" s="11">
        <v>-141.5</v>
      </c>
      <c r="AT13" s="11">
        <v>-179.4</v>
      </c>
      <c r="AU13" s="11">
        <v>-127.1</v>
      </c>
      <c r="AV13" s="11">
        <v>-198.8</v>
      </c>
      <c r="AW13" s="11">
        <v>22.300000000000011</v>
      </c>
      <c r="AX13" s="11">
        <v>60.5</v>
      </c>
      <c r="AY13" s="11">
        <v>886.1</v>
      </c>
      <c r="AZ13" s="11">
        <v>12.5</v>
      </c>
      <c r="BA13" s="11">
        <v>-1442.1</v>
      </c>
      <c r="BB13" s="11">
        <v>128.6</v>
      </c>
      <c r="BC13" s="11">
        <v>-35.799999999999997</v>
      </c>
      <c r="BD13" s="11">
        <v>-24.8</v>
      </c>
      <c r="BE13" s="11">
        <v>31</v>
      </c>
      <c r="BF13" s="11">
        <v>-17</v>
      </c>
      <c r="BG13" s="11">
        <v>107</v>
      </c>
      <c r="BH13" s="11">
        <v>39</v>
      </c>
      <c r="BI13" s="11">
        <v>10</v>
      </c>
      <c r="BJ13" s="31"/>
    </row>
    <row r="14" spans="1:62" ht="48" customHeight="1" thickBot="1">
      <c r="A14" s="9" t="s">
        <v>10</v>
      </c>
      <c r="B14" s="8">
        <v>3936</v>
      </c>
      <c r="C14" s="8">
        <v>4100.2</v>
      </c>
      <c r="D14" s="8">
        <v>4208.3999999999996</v>
      </c>
      <c r="E14" s="8">
        <v>4356.9000000000015</v>
      </c>
      <c r="F14" s="8">
        <v>4285.7</v>
      </c>
      <c r="G14" s="8">
        <v>4716.3</v>
      </c>
      <c r="H14" s="8">
        <v>4771.6000000000004</v>
      </c>
      <c r="I14" s="8">
        <v>4702.6999999999989</v>
      </c>
      <c r="J14" s="8">
        <v>4582</v>
      </c>
      <c r="K14" s="8">
        <v>4760.8999999999996</v>
      </c>
      <c r="L14" s="8">
        <v>4865.2</v>
      </c>
      <c r="M14" s="8">
        <v>4754.3000000000029</v>
      </c>
      <c r="N14" s="8">
        <v>4655.8</v>
      </c>
      <c r="O14" s="8">
        <v>4886.1000000000004</v>
      </c>
      <c r="P14" s="8">
        <v>4906.7</v>
      </c>
      <c r="Q14" s="8">
        <v>4892.7999999999993</v>
      </c>
      <c r="R14" s="8">
        <v>4764.3</v>
      </c>
      <c r="S14" s="8">
        <v>4992.7</v>
      </c>
      <c r="T14" s="8">
        <v>4914.6000000000004</v>
      </c>
      <c r="U14" s="8">
        <v>4820.4999999999982</v>
      </c>
      <c r="V14" s="8">
        <v>4573.3999999999996</v>
      </c>
      <c r="W14" s="8">
        <v>4648.3999999999996</v>
      </c>
      <c r="X14" s="8">
        <v>4584.8</v>
      </c>
      <c r="Y14" s="8">
        <v>4460.9000000000015</v>
      </c>
      <c r="Z14" s="8">
        <v>4123.6000000000004</v>
      </c>
      <c r="AA14" s="8">
        <v>4407.1000000000004</v>
      </c>
      <c r="AB14" s="8">
        <v>4286.8</v>
      </c>
      <c r="AC14" s="8">
        <v>4059.9000000000015</v>
      </c>
      <c r="AD14" s="8">
        <v>3641.9</v>
      </c>
      <c r="AE14" s="8">
        <v>3754.6</v>
      </c>
      <c r="AF14" s="8">
        <v>2675.2</v>
      </c>
      <c r="AG14" s="8">
        <v>3196</v>
      </c>
      <c r="AH14" s="8">
        <v>2995.8</v>
      </c>
      <c r="AI14" s="8">
        <v>3091.6</v>
      </c>
      <c r="AJ14" s="8">
        <v>2951.7</v>
      </c>
      <c r="AK14" s="8">
        <v>3163.5000000000018</v>
      </c>
      <c r="AL14" s="8">
        <v>2861.6</v>
      </c>
      <c r="AM14" s="8">
        <v>3067.4</v>
      </c>
      <c r="AN14" s="8">
        <v>3021.3</v>
      </c>
      <c r="AO14" s="8">
        <v>3056.4000000000015</v>
      </c>
      <c r="AP14" s="8">
        <v>3020.8</v>
      </c>
      <c r="AQ14" s="8">
        <v>2800.4</v>
      </c>
      <c r="AR14" s="8">
        <v>2891.7</v>
      </c>
      <c r="AS14" s="8">
        <v>3171.1</v>
      </c>
      <c r="AT14" s="8">
        <v>2843.3</v>
      </c>
      <c r="AU14" s="8">
        <v>3196.8</v>
      </c>
      <c r="AV14" s="8">
        <v>3214.8</v>
      </c>
      <c r="AW14" s="8">
        <v>3612.0999999999985</v>
      </c>
      <c r="AX14" s="8">
        <v>3353</v>
      </c>
      <c r="AY14" s="8">
        <v>4006.6</v>
      </c>
      <c r="AZ14" s="8">
        <v>3108.2</v>
      </c>
      <c r="BA14" s="8">
        <v>2399.2000000000007</v>
      </c>
      <c r="BB14" s="8">
        <v>3365.4</v>
      </c>
      <c r="BC14" s="8">
        <v>3393.4</v>
      </c>
      <c r="BD14" s="8">
        <v>3483.9</v>
      </c>
      <c r="BE14" s="8">
        <v>3604.2999999999993</v>
      </c>
      <c r="BF14" s="8">
        <v>3433</v>
      </c>
      <c r="BG14" s="8">
        <v>3570</v>
      </c>
      <c r="BH14" s="8">
        <v>3685</v>
      </c>
      <c r="BI14" s="8">
        <v>3520</v>
      </c>
      <c r="BJ14" s="35"/>
    </row>
    <row r="15" spans="1:62" ht="14.5" thickBot="1">
      <c r="A15" s="12" t="s">
        <v>11</v>
      </c>
      <c r="B15" s="8">
        <v>1674.1</v>
      </c>
      <c r="C15" s="8">
        <v>1845.3</v>
      </c>
      <c r="D15" s="8">
        <v>2096.5</v>
      </c>
      <c r="E15" s="8">
        <v>1857.2000000000007</v>
      </c>
      <c r="F15" s="8">
        <v>1825.9</v>
      </c>
      <c r="G15" s="8">
        <v>2189.1</v>
      </c>
      <c r="H15" s="8">
        <v>2394.6999999999998</v>
      </c>
      <c r="I15" s="8">
        <v>2120.0000000000009</v>
      </c>
      <c r="J15" s="8">
        <v>1964.6</v>
      </c>
      <c r="K15" s="8">
        <v>2155</v>
      </c>
      <c r="L15" s="8">
        <v>2287.1999999999998</v>
      </c>
      <c r="M15" s="8">
        <v>2197.8000000000002</v>
      </c>
      <c r="N15" s="8">
        <v>1949.5</v>
      </c>
      <c r="O15" s="8">
        <v>2197.6999999999998</v>
      </c>
      <c r="P15" s="8">
        <v>2416.6999999999998</v>
      </c>
      <c r="Q15" s="8">
        <v>2200.3999999999996</v>
      </c>
      <c r="R15" s="8">
        <v>1936</v>
      </c>
      <c r="S15" s="8">
        <v>2189</v>
      </c>
      <c r="T15" s="8">
        <v>2072.5</v>
      </c>
      <c r="U15" s="8">
        <v>1751.6999999999998</v>
      </c>
      <c r="V15" s="8">
        <v>1385.5</v>
      </c>
      <c r="W15" s="8">
        <v>1849.3</v>
      </c>
      <c r="X15" s="8">
        <v>2030.3</v>
      </c>
      <c r="Y15" s="8">
        <v>1880.3999999999996</v>
      </c>
      <c r="Z15" s="8">
        <v>1780.3</v>
      </c>
      <c r="AA15" s="8">
        <v>1857.9</v>
      </c>
      <c r="AB15" s="8">
        <v>2137.3000000000002</v>
      </c>
      <c r="AC15" s="8">
        <v>1969</v>
      </c>
      <c r="AD15" s="8">
        <v>2034</v>
      </c>
      <c r="AE15" s="8">
        <v>2295.1</v>
      </c>
      <c r="AF15" s="8">
        <v>3079.4</v>
      </c>
      <c r="AG15" s="8">
        <v>2144.2000000000007</v>
      </c>
      <c r="AH15" s="8">
        <v>2143.1</v>
      </c>
      <c r="AI15" s="8">
        <v>2262.3000000000002</v>
      </c>
      <c r="AJ15" s="8">
        <v>2417.6999999999998</v>
      </c>
      <c r="AK15" s="8">
        <v>1999.5000000000009</v>
      </c>
      <c r="AL15" s="8">
        <v>2094</v>
      </c>
      <c r="AM15" s="8">
        <v>2273.9</v>
      </c>
      <c r="AN15" s="8">
        <v>2409.3000000000002</v>
      </c>
      <c r="AO15" s="8">
        <v>2292.5999999999995</v>
      </c>
      <c r="AP15" s="8">
        <v>1693.6</v>
      </c>
      <c r="AQ15" s="8">
        <v>961.1</v>
      </c>
      <c r="AR15" s="8">
        <v>2526.4</v>
      </c>
      <c r="AS15" s="8">
        <v>2142.8999999999996</v>
      </c>
      <c r="AT15" s="8">
        <v>2281.3000000000002</v>
      </c>
      <c r="AU15" s="8">
        <v>2691.1</v>
      </c>
      <c r="AV15" s="8">
        <v>2986.5</v>
      </c>
      <c r="AW15" s="8">
        <v>2397.1000000000004</v>
      </c>
      <c r="AX15" s="8">
        <v>2312.6</v>
      </c>
      <c r="AY15" s="8">
        <v>1711.8</v>
      </c>
      <c r="AZ15" s="8">
        <v>2763.9</v>
      </c>
      <c r="BA15" s="8">
        <v>3567.7000000000007</v>
      </c>
      <c r="BB15" s="8">
        <v>2532.4</v>
      </c>
      <c r="BC15" s="8">
        <v>3104.1</v>
      </c>
      <c r="BD15" s="8">
        <v>3208.3</v>
      </c>
      <c r="BE15" s="8">
        <v>2802.2000000000007</v>
      </c>
      <c r="BF15" s="8">
        <v>2736</v>
      </c>
      <c r="BG15" s="8">
        <v>2920</v>
      </c>
      <c r="BH15" s="8">
        <v>3188</v>
      </c>
      <c r="BI15" s="8">
        <v>2868</v>
      </c>
      <c r="BJ15" s="35"/>
    </row>
    <row r="16" spans="1:62" ht="48.5" customHeight="1">
      <c r="A16" s="5" t="s">
        <v>12</v>
      </c>
      <c r="B16" s="10">
        <v>111</v>
      </c>
      <c r="C16" s="10">
        <v>108.1</v>
      </c>
      <c r="D16" s="10">
        <v>114.8</v>
      </c>
      <c r="E16" s="10">
        <v>117</v>
      </c>
      <c r="F16" s="10">
        <v>120.1</v>
      </c>
      <c r="G16" s="10">
        <v>121.8</v>
      </c>
      <c r="H16" s="10">
        <v>124</v>
      </c>
      <c r="I16" s="10">
        <v>126.90000000000003</v>
      </c>
      <c r="J16" s="10">
        <v>128.9</v>
      </c>
      <c r="K16" s="10">
        <v>130</v>
      </c>
      <c r="L16" s="10">
        <v>128.1</v>
      </c>
      <c r="M16" s="10">
        <v>129.60000000000002</v>
      </c>
      <c r="N16" s="10">
        <v>128.1</v>
      </c>
      <c r="O16" s="10">
        <v>129.80000000000001</v>
      </c>
      <c r="P16" s="10">
        <v>130.5</v>
      </c>
      <c r="Q16" s="10">
        <v>133.5</v>
      </c>
      <c r="R16" s="10">
        <v>135.5</v>
      </c>
      <c r="S16" s="10">
        <v>137.9</v>
      </c>
      <c r="T16" s="10">
        <v>149.30000000000001</v>
      </c>
      <c r="U16" s="10">
        <v>147.80000000000001</v>
      </c>
      <c r="V16" s="10">
        <v>147.30000000000001</v>
      </c>
      <c r="W16" s="10">
        <v>149.19999999999999</v>
      </c>
      <c r="X16" s="10">
        <v>160.9</v>
      </c>
      <c r="Y16" s="10">
        <v>180.89999999999998</v>
      </c>
      <c r="Z16" s="10">
        <v>218.3</v>
      </c>
      <c r="AA16" s="10">
        <v>223.9</v>
      </c>
      <c r="AB16" s="10">
        <v>221.4</v>
      </c>
      <c r="AC16" s="10">
        <v>221.19999999999993</v>
      </c>
      <c r="AD16" s="10">
        <v>218.6</v>
      </c>
      <c r="AE16" s="10">
        <v>230.9</v>
      </c>
      <c r="AF16" s="10">
        <v>236.7</v>
      </c>
      <c r="AG16" s="10">
        <v>235.09999999999991</v>
      </c>
      <c r="AH16" s="10">
        <v>236.8</v>
      </c>
      <c r="AI16" s="10">
        <v>240.2</v>
      </c>
      <c r="AJ16" s="10">
        <v>250.1</v>
      </c>
      <c r="AK16" s="10">
        <v>254.10000000000002</v>
      </c>
      <c r="AL16" s="10">
        <v>274.10000000000002</v>
      </c>
      <c r="AM16" s="10">
        <v>284.2</v>
      </c>
      <c r="AN16" s="10">
        <v>280.60000000000002</v>
      </c>
      <c r="AO16" s="10">
        <v>283.00000000000011</v>
      </c>
      <c r="AP16" s="10">
        <v>280</v>
      </c>
      <c r="AQ16" s="10">
        <v>319.10000000000002</v>
      </c>
      <c r="AR16" s="10">
        <v>310.10000000000002</v>
      </c>
      <c r="AS16" s="10">
        <v>308.79999999999995</v>
      </c>
      <c r="AT16" s="10">
        <v>300</v>
      </c>
      <c r="AU16" s="10">
        <v>296.5</v>
      </c>
      <c r="AV16" s="10">
        <v>293.7</v>
      </c>
      <c r="AW16" s="10">
        <v>295.79999999999995</v>
      </c>
      <c r="AX16" s="10">
        <v>287.3</v>
      </c>
      <c r="AY16" s="10">
        <v>290.60000000000002</v>
      </c>
      <c r="AZ16" s="10">
        <v>306.2</v>
      </c>
      <c r="BA16" s="10">
        <v>301.89999999999986</v>
      </c>
      <c r="BB16" s="10">
        <v>329.7</v>
      </c>
      <c r="BC16" s="10">
        <v>330.2</v>
      </c>
      <c r="BD16" s="10">
        <v>340.7</v>
      </c>
      <c r="BE16" s="10">
        <v>360.40000000000009</v>
      </c>
      <c r="BF16" s="10">
        <v>372</v>
      </c>
      <c r="BG16" s="10">
        <v>373</v>
      </c>
      <c r="BH16" s="10">
        <v>381</v>
      </c>
      <c r="BI16" s="10">
        <v>380</v>
      </c>
      <c r="BJ16" s="36"/>
    </row>
    <row r="17" spans="1:62" ht="14" customHeight="1">
      <c r="A17" s="5" t="s">
        <v>13</v>
      </c>
      <c r="B17" s="10">
        <v>6.2</v>
      </c>
      <c r="C17" s="10">
        <v>1.9</v>
      </c>
      <c r="D17" s="10">
        <v>7.2</v>
      </c>
      <c r="E17" s="10">
        <v>6.5999999999999979</v>
      </c>
      <c r="F17" s="10">
        <v>6.9</v>
      </c>
      <c r="G17" s="10">
        <v>0.9</v>
      </c>
      <c r="H17" s="10">
        <v>7.5</v>
      </c>
      <c r="I17" s="10">
        <v>9.3999999999999986</v>
      </c>
      <c r="J17" s="10">
        <v>-11.8</v>
      </c>
      <c r="K17" s="10">
        <v>15.1</v>
      </c>
      <c r="L17" s="10">
        <v>5.5</v>
      </c>
      <c r="M17" s="10">
        <v>0.20000000000000107</v>
      </c>
      <c r="N17" s="10">
        <v>4.5999999999999996</v>
      </c>
      <c r="O17" s="10">
        <v>8</v>
      </c>
      <c r="P17" s="10">
        <v>13.6</v>
      </c>
      <c r="Q17" s="10">
        <v>11.7</v>
      </c>
      <c r="R17" s="10">
        <v>17.2</v>
      </c>
      <c r="S17" s="10">
        <v>-20.399999999999999</v>
      </c>
      <c r="T17" s="10">
        <v>2.1</v>
      </c>
      <c r="U17" s="10">
        <v>7.7999999999999989</v>
      </c>
      <c r="V17" s="10">
        <v>-15.9</v>
      </c>
      <c r="W17" s="10">
        <v>-12.3</v>
      </c>
      <c r="X17" s="10">
        <v>-9</v>
      </c>
      <c r="Y17" s="10">
        <v>-11.299999999999997</v>
      </c>
      <c r="Z17" s="10">
        <v>-14.4</v>
      </c>
      <c r="AA17" s="10">
        <v>-16.2</v>
      </c>
      <c r="AB17" s="10">
        <v>11.4</v>
      </c>
      <c r="AC17" s="10">
        <v>12.900000000000002</v>
      </c>
      <c r="AD17" s="10">
        <v>7.9</v>
      </c>
      <c r="AE17" s="10">
        <v>2.8</v>
      </c>
      <c r="AF17" s="10">
        <v>23.2</v>
      </c>
      <c r="AG17" s="10">
        <v>24</v>
      </c>
      <c r="AH17" s="10">
        <v>18.399999999999999</v>
      </c>
      <c r="AI17" s="10">
        <v>4</v>
      </c>
      <c r="AJ17" s="10">
        <v>8.9</v>
      </c>
      <c r="AK17" s="10">
        <v>-5.9999999999999964</v>
      </c>
      <c r="AL17" s="10">
        <v>-11.4</v>
      </c>
      <c r="AM17" s="10">
        <v>-18.100000000000001</v>
      </c>
      <c r="AN17" s="10">
        <v>-23.5</v>
      </c>
      <c r="AO17" s="10">
        <v>-17.200000000000003</v>
      </c>
      <c r="AP17" s="10">
        <v>-31.3</v>
      </c>
      <c r="AQ17" s="10">
        <v>-6.7</v>
      </c>
      <c r="AR17" s="10">
        <v>-0.8</v>
      </c>
      <c r="AS17" s="10">
        <v>3.7999999999999972</v>
      </c>
      <c r="AT17" s="10">
        <v>28.6</v>
      </c>
      <c r="AU17" s="10">
        <v>18.600000000000001</v>
      </c>
      <c r="AV17" s="10">
        <v>1.4</v>
      </c>
      <c r="AW17" s="10">
        <v>-6.6000000000000014</v>
      </c>
      <c r="AX17" s="10">
        <v>484.1</v>
      </c>
      <c r="AY17" s="10">
        <v>12.1</v>
      </c>
      <c r="AZ17" s="10">
        <v>-78.5</v>
      </c>
      <c r="BA17" s="10">
        <v>-375.70000000000005</v>
      </c>
      <c r="BB17" s="10">
        <v>-64.3</v>
      </c>
      <c r="BC17" s="10">
        <v>-42.8</v>
      </c>
      <c r="BD17" s="10">
        <v>-55.9</v>
      </c>
      <c r="BE17" s="10">
        <v>-73</v>
      </c>
      <c r="BF17" s="10">
        <v>-45</v>
      </c>
      <c r="BG17" s="10">
        <v>-9</v>
      </c>
      <c r="BH17" s="10">
        <v>-36</v>
      </c>
      <c r="BI17" s="10">
        <v>-49</v>
      </c>
      <c r="BJ17" s="31"/>
    </row>
    <row r="18" spans="1:62" ht="14.5" customHeight="1" thickBot="1">
      <c r="A18" s="7" t="s">
        <v>14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>
        <v>0</v>
      </c>
    </row>
    <row r="19" spans="1:62" ht="37.5" customHeight="1">
      <c r="A19" s="4" t="s">
        <v>15</v>
      </c>
      <c r="B19" s="6">
        <v>1556.9</v>
      </c>
      <c r="C19" s="6">
        <v>1735.3</v>
      </c>
      <c r="D19" s="6">
        <v>1974.5</v>
      </c>
      <c r="E19" s="6">
        <v>1733.6000000000004</v>
      </c>
      <c r="F19" s="6">
        <v>1698.9</v>
      </c>
      <c r="G19" s="6">
        <v>2066.4</v>
      </c>
      <c r="H19" s="6">
        <v>2263.1999999999998</v>
      </c>
      <c r="I19" s="6">
        <v>1983.6999999999998</v>
      </c>
      <c r="J19" s="6">
        <v>1847.5</v>
      </c>
      <c r="K19" s="6">
        <v>2009.9</v>
      </c>
      <c r="L19" s="6">
        <v>2153.6</v>
      </c>
      <c r="M19" s="6">
        <v>2068</v>
      </c>
      <c r="N19" s="6">
        <v>1816.8</v>
      </c>
      <c r="O19" s="6">
        <v>2059.9</v>
      </c>
      <c r="P19" s="6">
        <v>2272.6</v>
      </c>
      <c r="Q19" s="6">
        <v>2055.2000000000007</v>
      </c>
      <c r="R19" s="6">
        <v>1783.3</v>
      </c>
      <c r="S19" s="6">
        <v>2071.5</v>
      </c>
      <c r="T19" s="6">
        <v>1921.1</v>
      </c>
      <c r="U19" s="6">
        <v>1596.1000000000004</v>
      </c>
      <c r="V19" s="6">
        <v>1254.0999999999999</v>
      </c>
      <c r="W19" s="6">
        <v>1712.4</v>
      </c>
      <c r="X19" s="6">
        <v>1878.4</v>
      </c>
      <c r="Y19" s="6">
        <v>1710.8000000000002</v>
      </c>
      <c r="Z19" s="6">
        <v>1576.4</v>
      </c>
      <c r="AA19" s="6">
        <v>1650.2</v>
      </c>
      <c r="AB19" s="6">
        <v>1904.5</v>
      </c>
      <c r="AC19" s="6">
        <v>1734.8999999999996</v>
      </c>
      <c r="AD19" s="6">
        <v>1807.5</v>
      </c>
      <c r="AE19" s="6">
        <v>2061.4</v>
      </c>
      <c r="AF19" s="6">
        <v>2819.5</v>
      </c>
      <c r="AG19" s="6">
        <v>1885.1000000000004</v>
      </c>
      <c r="AH19" s="6">
        <v>1887.9</v>
      </c>
      <c r="AI19" s="6">
        <v>2018.1</v>
      </c>
      <c r="AJ19" s="6">
        <v>2158.6999999999998</v>
      </c>
      <c r="AK19" s="6">
        <v>1751.4000000000005</v>
      </c>
      <c r="AL19" s="6">
        <v>1831.3</v>
      </c>
      <c r="AM19" s="6">
        <v>2007.8</v>
      </c>
      <c r="AN19" s="6">
        <v>2152.1999999999998</v>
      </c>
      <c r="AO19" s="6">
        <v>2026.8000000000011</v>
      </c>
      <c r="AP19" s="6">
        <v>1444.9</v>
      </c>
      <c r="AQ19" s="6">
        <v>648.70000000000005</v>
      </c>
      <c r="AR19" s="6">
        <v>2217.1</v>
      </c>
      <c r="AS19" s="6">
        <v>1830.2999999999993</v>
      </c>
      <c r="AT19" s="6">
        <v>1952.7</v>
      </c>
      <c r="AU19" s="6">
        <v>2376</v>
      </c>
      <c r="AV19" s="6">
        <v>2691.4</v>
      </c>
      <c r="AW19" s="6">
        <v>2107.8999999999996</v>
      </c>
      <c r="AX19" s="6">
        <v>1541.2</v>
      </c>
      <c r="AY19" s="6">
        <v>1409.1</v>
      </c>
      <c r="AZ19" s="6">
        <v>2536.1999999999998</v>
      </c>
      <c r="BA19" s="6">
        <v>3641.5</v>
      </c>
      <c r="BB19" s="6">
        <v>2267</v>
      </c>
      <c r="BC19" s="6">
        <v>2816.7</v>
      </c>
      <c r="BD19" s="6">
        <v>2923.5</v>
      </c>
      <c r="BE19" s="6">
        <v>2514.8000000000002</v>
      </c>
      <c r="BF19" s="6">
        <v>2409</v>
      </c>
      <c r="BG19" s="6">
        <v>2555</v>
      </c>
      <c r="BH19" s="6">
        <v>2843</v>
      </c>
      <c r="BI19" s="6">
        <v>2538</v>
      </c>
      <c r="BJ19" s="35"/>
    </row>
    <row r="20" spans="1:62" ht="14.5" customHeight="1" thickBot="1">
      <c r="A20" s="7" t="s">
        <v>16</v>
      </c>
      <c r="B20" s="11">
        <v>467.1</v>
      </c>
      <c r="C20" s="11">
        <v>509.5</v>
      </c>
      <c r="D20" s="11">
        <v>586.1</v>
      </c>
      <c r="E20" s="11">
        <v>491.29999999999995</v>
      </c>
      <c r="F20" s="11">
        <v>489.9</v>
      </c>
      <c r="G20" s="11">
        <v>656.2</v>
      </c>
      <c r="H20" s="11">
        <v>755.9</v>
      </c>
      <c r="I20" s="11">
        <v>607.09999999999991</v>
      </c>
      <c r="J20" s="11">
        <v>580.79999999999995</v>
      </c>
      <c r="K20" s="11">
        <v>662.9</v>
      </c>
      <c r="L20" s="11">
        <v>698.6</v>
      </c>
      <c r="M20" s="11">
        <v>671.90000000000009</v>
      </c>
      <c r="N20" s="11">
        <v>546.6</v>
      </c>
      <c r="O20" s="11">
        <v>663.4</v>
      </c>
      <c r="P20" s="11">
        <v>750.4</v>
      </c>
      <c r="Q20" s="11">
        <v>658.19999999999982</v>
      </c>
      <c r="R20" s="11">
        <v>578.5</v>
      </c>
      <c r="S20" s="11">
        <v>684.4</v>
      </c>
      <c r="T20" s="11">
        <v>852.7</v>
      </c>
      <c r="U20" s="11">
        <v>498.59999999999945</v>
      </c>
      <c r="V20" s="11">
        <v>442.6</v>
      </c>
      <c r="W20" s="11">
        <v>510</v>
      </c>
      <c r="X20" s="11">
        <v>569.20000000000005</v>
      </c>
      <c r="Y20" s="11">
        <v>504.59999999999991</v>
      </c>
      <c r="Z20" s="11">
        <v>477.8</v>
      </c>
      <c r="AA20" s="11">
        <v>557.29999999999995</v>
      </c>
      <c r="AB20" s="11">
        <v>629.1</v>
      </c>
      <c r="AC20" s="11">
        <v>515.30000000000018</v>
      </c>
      <c r="AD20" s="11">
        <v>592.70000000000005</v>
      </c>
      <c r="AE20" s="11">
        <v>666.3</v>
      </c>
      <c r="AF20" s="11">
        <v>935.8</v>
      </c>
      <c r="AG20" s="11">
        <v>1186.3999999999996</v>
      </c>
      <c r="AH20" s="11">
        <v>512.5</v>
      </c>
      <c r="AI20" s="11">
        <v>521.79999999999995</v>
      </c>
      <c r="AJ20" s="11">
        <v>521.4</v>
      </c>
      <c r="AK20" s="11">
        <v>336.10000000000014</v>
      </c>
      <c r="AL20" s="11">
        <v>502.9</v>
      </c>
      <c r="AM20" s="11">
        <v>490.9</v>
      </c>
      <c r="AN20" s="11">
        <v>544.29999999999995</v>
      </c>
      <c r="AO20" s="11">
        <v>454.60000000000014</v>
      </c>
      <c r="AP20" s="11">
        <v>338</v>
      </c>
      <c r="AQ20" s="11">
        <v>164.9</v>
      </c>
      <c r="AR20" s="11">
        <v>454.5</v>
      </c>
      <c r="AS20" s="11">
        <v>452.6</v>
      </c>
      <c r="AT20" s="11">
        <v>415.5</v>
      </c>
      <c r="AU20" s="11">
        <v>156.69999999999999</v>
      </c>
      <c r="AV20" s="11">
        <v>541.5</v>
      </c>
      <c r="AW20" s="11">
        <v>469.29999999999995</v>
      </c>
      <c r="AX20" s="11">
        <v>436.8</v>
      </c>
      <c r="AY20" s="11">
        <v>221.1</v>
      </c>
      <c r="AZ20" s="11">
        <v>554.6</v>
      </c>
      <c r="BA20" s="11">
        <v>370.5</v>
      </c>
      <c r="BB20" s="11">
        <v>464.7</v>
      </c>
      <c r="BC20" s="11">
        <v>506.3</v>
      </c>
      <c r="BD20" s="11">
        <v>606.4</v>
      </c>
      <c r="BE20" s="11">
        <v>475.59999999999991</v>
      </c>
      <c r="BF20" s="11">
        <v>479</v>
      </c>
      <c r="BG20" s="11">
        <v>533</v>
      </c>
      <c r="BH20" s="11">
        <v>588</v>
      </c>
      <c r="BI20" s="11">
        <v>521</v>
      </c>
      <c r="BJ20" s="35"/>
    </row>
    <row r="21" spans="1:62" ht="14.5" customHeight="1" thickBot="1">
      <c r="A21" s="12" t="s">
        <v>17</v>
      </c>
      <c r="B21" s="8">
        <v>1089.8</v>
      </c>
      <c r="C21" s="8">
        <v>1225.8</v>
      </c>
      <c r="D21" s="8">
        <v>1388.4</v>
      </c>
      <c r="E21" s="8">
        <v>1242.3000000000002</v>
      </c>
      <c r="F21" s="8">
        <v>1209</v>
      </c>
      <c r="G21" s="8">
        <v>1410.2</v>
      </c>
      <c r="H21" s="8">
        <v>1507.3</v>
      </c>
      <c r="I21" s="8">
        <v>1376.6000000000004</v>
      </c>
      <c r="J21" s="8">
        <v>1266.7</v>
      </c>
      <c r="K21" s="8">
        <v>1347</v>
      </c>
      <c r="L21" s="8">
        <v>1455</v>
      </c>
      <c r="M21" s="8">
        <v>1396.1000000000004</v>
      </c>
      <c r="N21" s="8">
        <v>1270.2</v>
      </c>
      <c r="O21" s="8">
        <v>1396.5</v>
      </c>
      <c r="P21" s="8">
        <v>1522.2</v>
      </c>
      <c r="Q21" s="8">
        <v>1397</v>
      </c>
      <c r="R21" s="8">
        <v>1204.8</v>
      </c>
      <c r="S21" s="8">
        <v>1387.1</v>
      </c>
      <c r="T21" s="8">
        <v>1068.4000000000001</v>
      </c>
      <c r="U21" s="8">
        <v>1097.5000000000005</v>
      </c>
      <c r="V21" s="8">
        <v>811.49999999999989</v>
      </c>
      <c r="W21" s="8">
        <v>1202.4000000000001</v>
      </c>
      <c r="X21" s="8">
        <v>1309.2</v>
      </c>
      <c r="Y21" s="8">
        <v>1206.1999999999998</v>
      </c>
      <c r="Z21" s="8">
        <v>1098.5999999999999</v>
      </c>
      <c r="AA21" s="8">
        <v>1092.9000000000001</v>
      </c>
      <c r="AB21" s="8">
        <v>1275.4000000000001</v>
      </c>
      <c r="AC21" s="8">
        <v>1219.5999999999999</v>
      </c>
      <c r="AD21" s="8">
        <v>1214.8</v>
      </c>
      <c r="AE21" s="8">
        <v>1395.1</v>
      </c>
      <c r="AF21" s="8">
        <v>1883.7</v>
      </c>
      <c r="AG21" s="8">
        <v>698.70000000000073</v>
      </c>
      <c r="AH21" s="8">
        <v>1375.4</v>
      </c>
      <c r="AI21" s="8">
        <v>1496.3</v>
      </c>
      <c r="AJ21" s="8">
        <v>1637.3</v>
      </c>
      <c r="AK21" s="8">
        <v>1415.3000000000002</v>
      </c>
      <c r="AL21" s="8">
        <v>1328.4</v>
      </c>
      <c r="AM21" s="8">
        <v>1516.9</v>
      </c>
      <c r="AN21" s="8">
        <v>1607.9</v>
      </c>
      <c r="AO21" s="8">
        <v>1572.1999999999989</v>
      </c>
      <c r="AP21" s="8">
        <v>1106.9000000000001</v>
      </c>
      <c r="AQ21" s="8">
        <v>483.8</v>
      </c>
      <c r="AR21" s="8">
        <v>1762.6</v>
      </c>
      <c r="AS21" s="8">
        <v>1377.6999999999998</v>
      </c>
      <c r="AT21" s="8">
        <v>1537.2</v>
      </c>
      <c r="AU21" s="8">
        <v>2219.3000000000002</v>
      </c>
      <c r="AV21" s="8">
        <v>2149.9</v>
      </c>
      <c r="AW21" s="8">
        <v>1638.6000000000004</v>
      </c>
      <c r="AX21" s="8">
        <v>1104.4000000000001</v>
      </c>
      <c r="AY21" s="8">
        <v>1188</v>
      </c>
      <c r="AZ21" s="8">
        <v>1981.6</v>
      </c>
      <c r="BA21" s="8">
        <v>3271</v>
      </c>
      <c r="BB21" s="8">
        <v>1802.3</v>
      </c>
      <c r="BC21" s="8">
        <v>2310.4</v>
      </c>
      <c r="BD21" s="8">
        <v>2317.1</v>
      </c>
      <c r="BE21" s="8">
        <v>2039.2000000000007</v>
      </c>
      <c r="BF21" s="8">
        <v>1929</v>
      </c>
      <c r="BG21" s="8">
        <v>2022</v>
      </c>
      <c r="BH21" s="8">
        <v>2255</v>
      </c>
      <c r="BI21" s="8">
        <v>2017</v>
      </c>
      <c r="BJ21" s="36"/>
    </row>
    <row r="22" spans="1:62" ht="14" customHeight="1">
      <c r="A22" s="13"/>
      <c r="AS22" s="29"/>
      <c r="AU22" s="30"/>
      <c r="BA22" s="28"/>
    </row>
    <row r="23" spans="1:62" ht="14" customHeight="1">
      <c r="A23" s="14"/>
      <c r="R23" s="24"/>
      <c r="S23" s="16"/>
      <c r="V23" s="23"/>
      <c r="AS23" s="28"/>
      <c r="AT23" s="32"/>
      <c r="AX23" s="15"/>
      <c r="AY23" s="15"/>
      <c r="AZ23" s="15"/>
    </row>
    <row r="24" spans="1:62" ht="14" customHeight="1">
      <c r="I24" s="15"/>
      <c r="R24" s="25"/>
    </row>
    <row r="25" spans="1:62" ht="48.5" customHeight="1">
      <c r="R25" s="17"/>
      <c r="S25" s="21"/>
      <c r="U25" s="19"/>
      <c r="V25" s="22"/>
    </row>
    <row r="26" spans="1:62" ht="14" customHeight="1">
      <c r="R26" s="18"/>
      <c r="S26" s="20"/>
      <c r="U26" s="19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CE7CE-E88D-4384-9B0F-1FF975C7C4DD}">
  <dimension ref="A1:R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S2" sqref="S2:S61"/>
    </sheetView>
  </sheetViews>
  <sheetFormatPr defaultRowHeight="14"/>
  <cols>
    <col min="2" max="2" width="8.6640625" customWidth="1"/>
  </cols>
  <sheetData>
    <row r="1" spans="1:18" ht="91">
      <c r="A1" s="38" t="s">
        <v>182</v>
      </c>
      <c r="B1" s="39" t="s">
        <v>5</v>
      </c>
      <c r="C1" s="5" t="s">
        <v>185</v>
      </c>
      <c r="D1" s="5" t="s">
        <v>186</v>
      </c>
      <c r="E1" s="5" t="s">
        <v>184</v>
      </c>
      <c r="F1" s="39" t="s">
        <v>94</v>
      </c>
      <c r="G1" s="5" t="s">
        <v>187</v>
      </c>
      <c r="H1" s="5" t="s">
        <v>188</v>
      </c>
      <c r="I1" s="5" t="s">
        <v>189</v>
      </c>
      <c r="J1" s="5" t="s">
        <v>190</v>
      </c>
      <c r="K1" s="5" t="s">
        <v>191</v>
      </c>
      <c r="L1" s="5" t="s">
        <v>192</v>
      </c>
      <c r="M1" s="5" t="s">
        <v>11</v>
      </c>
      <c r="N1" s="5" t="s">
        <v>193</v>
      </c>
      <c r="O1" s="5" t="s">
        <v>194</v>
      </c>
      <c r="P1" s="5" t="s">
        <v>15</v>
      </c>
      <c r="Q1" s="5" t="s">
        <v>16</v>
      </c>
      <c r="R1" s="5" t="s">
        <v>17</v>
      </c>
    </row>
    <row r="2" spans="1:18">
      <c r="A2" s="38" t="s">
        <v>18</v>
      </c>
      <c r="B2" s="40">
        <v>5610.1</v>
      </c>
      <c r="C2" s="40">
        <v>3803.1</v>
      </c>
      <c r="D2" s="40">
        <v>1807</v>
      </c>
      <c r="E2" s="40"/>
      <c r="F2" s="40">
        <v>3936</v>
      </c>
      <c r="G2" s="40">
        <v>3110.9</v>
      </c>
      <c r="H2" s="41">
        <v>339.3</v>
      </c>
      <c r="I2" s="41"/>
      <c r="J2" s="41">
        <v>546.29999999999995</v>
      </c>
      <c r="K2" s="41">
        <v>30.8</v>
      </c>
      <c r="L2" s="41">
        <v>-91.3</v>
      </c>
      <c r="M2" s="40">
        <v>1674.1</v>
      </c>
      <c r="N2" s="41">
        <v>111</v>
      </c>
      <c r="O2" s="41">
        <v>6.2</v>
      </c>
      <c r="P2" s="40">
        <v>1556.9</v>
      </c>
      <c r="Q2" s="41">
        <v>467.1</v>
      </c>
      <c r="R2" s="40">
        <v>1089.8</v>
      </c>
    </row>
    <row r="3" spans="1:18">
      <c r="A3" s="38" t="s">
        <v>19</v>
      </c>
      <c r="B3" s="40">
        <v>5945.5</v>
      </c>
      <c r="C3" s="40">
        <v>4013.4</v>
      </c>
      <c r="D3" s="40">
        <v>1932.1</v>
      </c>
      <c r="E3" s="40"/>
      <c r="F3" s="40">
        <v>4100.2</v>
      </c>
      <c r="G3" s="40">
        <v>3214.8</v>
      </c>
      <c r="H3" s="41">
        <v>334.3</v>
      </c>
      <c r="I3" s="41"/>
      <c r="J3" s="41">
        <v>564.9</v>
      </c>
      <c r="K3" s="41">
        <v>6.8</v>
      </c>
      <c r="L3" s="41">
        <v>-20.6</v>
      </c>
      <c r="M3" s="40">
        <v>1845.3</v>
      </c>
      <c r="N3" s="41">
        <v>108.1</v>
      </c>
      <c r="O3" s="41">
        <v>1.9</v>
      </c>
      <c r="P3" s="40">
        <v>1735.3</v>
      </c>
      <c r="Q3" s="41">
        <v>509.5</v>
      </c>
      <c r="R3" s="40">
        <v>1225.8</v>
      </c>
    </row>
    <row r="4" spans="1:18">
      <c r="A4" s="38" t="s">
        <v>20</v>
      </c>
      <c r="B4" s="40">
        <v>6304.9</v>
      </c>
      <c r="C4" s="40">
        <v>4246.6000000000004</v>
      </c>
      <c r="D4" s="40">
        <v>2058.3000000000002</v>
      </c>
      <c r="E4" s="40"/>
      <c r="F4" s="40">
        <v>4208.3999999999996</v>
      </c>
      <c r="G4" s="40">
        <v>3354</v>
      </c>
      <c r="H4" s="41">
        <v>344.4</v>
      </c>
      <c r="I4" s="41"/>
      <c r="J4" s="41">
        <v>556.29999999999995</v>
      </c>
      <c r="K4" s="41">
        <v>3.6</v>
      </c>
      <c r="L4" s="41">
        <v>-49.9</v>
      </c>
      <c r="M4" s="40">
        <v>2096.5</v>
      </c>
      <c r="N4" s="41">
        <v>114.8</v>
      </c>
      <c r="O4" s="41">
        <v>7.2</v>
      </c>
      <c r="P4" s="40">
        <v>1974.5</v>
      </c>
      <c r="Q4" s="41">
        <v>586.1</v>
      </c>
      <c r="R4" s="40">
        <v>1388.4</v>
      </c>
    </row>
    <row r="5" spans="1:18">
      <c r="A5" s="38" t="s">
        <v>21</v>
      </c>
      <c r="B5" s="40">
        <v>6214.0999999999985</v>
      </c>
      <c r="C5" s="40">
        <v>4170.1999999999989</v>
      </c>
      <c r="D5" s="40">
        <v>2043.9000000000005</v>
      </c>
      <c r="E5" s="40"/>
      <c r="F5" s="40">
        <v>4356.9000000000015</v>
      </c>
      <c r="G5" s="40">
        <v>3379.7999999999993</v>
      </c>
      <c r="H5" s="41">
        <v>359.79999999999995</v>
      </c>
      <c r="I5" s="41"/>
      <c r="J5" s="41">
        <v>665.80000000000041</v>
      </c>
      <c r="K5" s="41">
        <v>-12.100000000000001</v>
      </c>
      <c r="L5" s="41">
        <v>-36.399999999999977</v>
      </c>
      <c r="M5" s="40">
        <v>1857.2000000000007</v>
      </c>
      <c r="N5" s="41">
        <v>117</v>
      </c>
      <c r="O5" s="41">
        <v>6.5999999999999979</v>
      </c>
      <c r="P5" s="40">
        <v>1733.6000000000004</v>
      </c>
      <c r="Q5" s="41">
        <v>491.29999999999995</v>
      </c>
      <c r="R5" s="40">
        <v>1242.3000000000002</v>
      </c>
    </row>
    <row r="6" spans="1:18">
      <c r="A6" s="38" t="s">
        <v>22</v>
      </c>
      <c r="B6" s="40">
        <v>6111.6</v>
      </c>
      <c r="C6" s="40">
        <v>4152.7</v>
      </c>
      <c r="D6" s="40">
        <v>1958.9</v>
      </c>
      <c r="E6" s="40"/>
      <c r="F6" s="40">
        <v>4285.7</v>
      </c>
      <c r="G6" s="40">
        <v>3416.7</v>
      </c>
      <c r="H6" s="41">
        <v>354.3</v>
      </c>
      <c r="I6" s="41"/>
      <c r="J6" s="41">
        <v>563.6</v>
      </c>
      <c r="K6" s="41"/>
      <c r="L6" s="41">
        <v>-48.9</v>
      </c>
      <c r="M6" s="40">
        <v>1825.9</v>
      </c>
      <c r="N6" s="41">
        <v>120.1</v>
      </c>
      <c r="O6" s="41">
        <v>6.9</v>
      </c>
      <c r="P6" s="40">
        <v>1698.9</v>
      </c>
      <c r="Q6" s="41">
        <v>489.9</v>
      </c>
      <c r="R6" s="40">
        <v>1209</v>
      </c>
    </row>
    <row r="7" spans="1:18">
      <c r="A7" s="38" t="s">
        <v>23</v>
      </c>
      <c r="B7" s="40">
        <v>6905.4</v>
      </c>
      <c r="C7" s="40">
        <v>4697.3999999999996</v>
      </c>
      <c r="D7" s="40">
        <v>2208</v>
      </c>
      <c r="E7" s="40"/>
      <c r="F7" s="40">
        <v>4716.3</v>
      </c>
      <c r="G7" s="40">
        <v>3806.8</v>
      </c>
      <c r="H7" s="41">
        <v>373</v>
      </c>
      <c r="I7" s="41"/>
      <c r="J7" s="41">
        <v>588</v>
      </c>
      <c r="K7" s="41">
        <v>2.4</v>
      </c>
      <c r="L7" s="41">
        <v>-53.9</v>
      </c>
      <c r="M7" s="40">
        <v>2189.1</v>
      </c>
      <c r="N7" s="41">
        <v>121.8</v>
      </c>
      <c r="O7" s="41">
        <v>0.9</v>
      </c>
      <c r="P7" s="40">
        <v>2066.4</v>
      </c>
      <c r="Q7" s="41">
        <v>656.2</v>
      </c>
      <c r="R7" s="40">
        <v>1410.2</v>
      </c>
    </row>
    <row r="8" spans="1:18">
      <c r="A8" s="38" t="s">
        <v>24</v>
      </c>
      <c r="B8" s="40">
        <v>7166.3</v>
      </c>
      <c r="C8" s="40">
        <v>4855.5</v>
      </c>
      <c r="D8" s="40">
        <v>2310.8000000000002</v>
      </c>
      <c r="E8" s="40"/>
      <c r="F8" s="40">
        <v>4771.6000000000004</v>
      </c>
      <c r="G8" s="40">
        <v>3883.3</v>
      </c>
      <c r="H8" s="41">
        <v>376.2</v>
      </c>
      <c r="I8" s="41"/>
      <c r="J8" s="41">
        <v>580.9</v>
      </c>
      <c r="K8" s="41">
        <v>-6.6</v>
      </c>
      <c r="L8" s="41">
        <v>-62.2</v>
      </c>
      <c r="M8" s="40">
        <v>2394.6999999999998</v>
      </c>
      <c r="N8" s="41">
        <v>124</v>
      </c>
      <c r="O8" s="41">
        <v>7.5</v>
      </c>
      <c r="P8" s="40">
        <v>2263.1999999999998</v>
      </c>
      <c r="Q8" s="41">
        <v>755.9</v>
      </c>
      <c r="R8" s="40">
        <v>1507.3</v>
      </c>
    </row>
    <row r="9" spans="1:18">
      <c r="A9" s="38" t="s">
        <v>25</v>
      </c>
      <c r="B9" s="40">
        <v>6822.7000000000007</v>
      </c>
      <c r="C9" s="40">
        <v>4587.2000000000007</v>
      </c>
      <c r="D9" s="40">
        <v>2235.5000000000009</v>
      </c>
      <c r="E9" s="40"/>
      <c r="F9" s="40">
        <v>4702.6999999999989</v>
      </c>
      <c r="G9" s="40">
        <v>3731.1000000000004</v>
      </c>
      <c r="H9" s="41">
        <v>378</v>
      </c>
      <c r="I9" s="41"/>
      <c r="J9" s="41">
        <v>661.19999999999982</v>
      </c>
      <c r="K9" s="41">
        <v>0.29999999999999938</v>
      </c>
      <c r="L9" s="41">
        <v>-67.900000000000006</v>
      </c>
      <c r="M9" s="40">
        <v>2120.0000000000009</v>
      </c>
      <c r="N9" s="41">
        <v>126.90000000000003</v>
      </c>
      <c r="O9" s="41">
        <v>9.3999999999999986</v>
      </c>
      <c r="P9" s="40">
        <v>1983.6999999999998</v>
      </c>
      <c r="Q9" s="41">
        <v>607.09999999999991</v>
      </c>
      <c r="R9" s="40">
        <v>1376.6000000000004</v>
      </c>
    </row>
    <row r="10" spans="1:18">
      <c r="A10" s="38" t="s">
        <v>26</v>
      </c>
      <c r="B10" s="40">
        <v>6546.6</v>
      </c>
      <c r="C10" s="40">
        <v>4432.2</v>
      </c>
      <c r="D10" s="40">
        <v>2114.4</v>
      </c>
      <c r="E10" s="40"/>
      <c r="F10" s="40">
        <v>4582</v>
      </c>
      <c r="G10" s="40">
        <v>3654.4</v>
      </c>
      <c r="H10" s="41">
        <v>374.7</v>
      </c>
      <c r="I10" s="41"/>
      <c r="J10" s="41">
        <v>592.5</v>
      </c>
      <c r="K10" s="41"/>
      <c r="L10" s="41">
        <v>-39.6</v>
      </c>
      <c r="M10" s="40">
        <v>1964.6</v>
      </c>
      <c r="N10" s="41">
        <v>128.9</v>
      </c>
      <c r="O10" s="41">
        <v>-11.8</v>
      </c>
      <c r="P10" s="40">
        <v>1847.5</v>
      </c>
      <c r="Q10" s="41">
        <v>580.79999999999995</v>
      </c>
      <c r="R10" s="40">
        <v>1266.7</v>
      </c>
    </row>
    <row r="11" spans="1:18">
      <c r="A11" s="38" t="s">
        <v>27</v>
      </c>
      <c r="B11" s="40">
        <v>6915.9</v>
      </c>
      <c r="C11" s="40">
        <v>4673.5</v>
      </c>
      <c r="D11" s="40">
        <v>2242.4</v>
      </c>
      <c r="E11" s="40"/>
      <c r="F11" s="40">
        <v>4760.8999999999996</v>
      </c>
      <c r="G11" s="40">
        <v>3823.8</v>
      </c>
      <c r="H11" s="41">
        <v>376.2</v>
      </c>
      <c r="I11" s="41"/>
      <c r="J11" s="41">
        <v>617.29999999999995</v>
      </c>
      <c r="K11" s="41"/>
      <c r="L11" s="41">
        <v>-56.4</v>
      </c>
      <c r="M11" s="40">
        <v>2155</v>
      </c>
      <c r="N11" s="41">
        <v>130</v>
      </c>
      <c r="O11" s="41">
        <v>15.1</v>
      </c>
      <c r="P11" s="40">
        <v>2009.9</v>
      </c>
      <c r="Q11" s="41">
        <v>662.9</v>
      </c>
      <c r="R11" s="40">
        <v>1347</v>
      </c>
    </row>
    <row r="12" spans="1:18">
      <c r="A12" s="38" t="s">
        <v>28</v>
      </c>
      <c r="B12" s="40">
        <v>7152.4</v>
      </c>
      <c r="C12" s="40">
        <v>4838.3999999999996</v>
      </c>
      <c r="D12" s="40">
        <v>2314</v>
      </c>
      <c r="E12" s="40"/>
      <c r="F12" s="40">
        <v>4865.2</v>
      </c>
      <c r="G12" s="40">
        <v>3914.4</v>
      </c>
      <c r="H12" s="41">
        <v>383.4</v>
      </c>
      <c r="I12" s="41"/>
      <c r="J12" s="41">
        <v>620.9</v>
      </c>
      <c r="K12" s="41">
        <v>6.2</v>
      </c>
      <c r="L12" s="41">
        <v>-59.7</v>
      </c>
      <c r="M12" s="40">
        <v>2287.1999999999998</v>
      </c>
      <c r="N12" s="41">
        <v>128.1</v>
      </c>
      <c r="O12" s="41">
        <v>5.5</v>
      </c>
      <c r="P12" s="40">
        <v>2153.6</v>
      </c>
      <c r="Q12" s="41">
        <v>698.6</v>
      </c>
      <c r="R12" s="40">
        <v>1455</v>
      </c>
    </row>
    <row r="13" spans="1:18">
      <c r="A13" s="38" t="s">
        <v>29</v>
      </c>
      <c r="B13" s="40">
        <v>6952.0999999999985</v>
      </c>
      <c r="C13" s="40">
        <v>4658.3999999999996</v>
      </c>
      <c r="D13" s="40">
        <v>2293.6999999999998</v>
      </c>
      <c r="E13" s="40"/>
      <c r="F13" s="40">
        <v>4754.3000000000029</v>
      </c>
      <c r="G13" s="40">
        <v>3831.1000000000031</v>
      </c>
      <c r="H13" s="41">
        <v>392.70000000000005</v>
      </c>
      <c r="I13" s="41"/>
      <c r="J13" s="41">
        <v>624.5</v>
      </c>
      <c r="K13" s="41">
        <v>1.7999999999999998</v>
      </c>
      <c r="L13" s="41">
        <v>-95.800000000000011</v>
      </c>
      <c r="M13" s="40">
        <v>2197.8000000000002</v>
      </c>
      <c r="N13" s="41">
        <v>129.60000000000002</v>
      </c>
      <c r="O13" s="41">
        <v>0.20000000000000107</v>
      </c>
      <c r="P13" s="40">
        <v>2068</v>
      </c>
      <c r="Q13" s="41">
        <v>671.90000000000009</v>
      </c>
      <c r="R13" s="40">
        <v>1396.1000000000004</v>
      </c>
    </row>
    <row r="14" spans="1:18">
      <c r="A14" s="38" t="s">
        <v>30</v>
      </c>
      <c r="B14" s="40">
        <v>6605.3</v>
      </c>
      <c r="C14" s="40">
        <v>4445.3999999999996</v>
      </c>
      <c r="D14" s="40">
        <v>2159.9</v>
      </c>
      <c r="E14" s="40"/>
      <c r="F14" s="40">
        <v>4655.8</v>
      </c>
      <c r="G14" s="40">
        <v>3726</v>
      </c>
      <c r="H14" s="41">
        <v>395.2</v>
      </c>
      <c r="I14" s="41"/>
      <c r="J14" s="41">
        <v>596.5</v>
      </c>
      <c r="K14" s="41"/>
      <c r="L14" s="41">
        <v>-61.9</v>
      </c>
      <c r="M14" s="40">
        <v>1949.5</v>
      </c>
      <c r="N14" s="41">
        <v>128.1</v>
      </c>
      <c r="O14" s="41">
        <v>4.5999999999999996</v>
      </c>
      <c r="P14" s="40">
        <v>1816.8</v>
      </c>
      <c r="Q14" s="41">
        <v>546.6</v>
      </c>
      <c r="R14" s="40">
        <v>1270.2</v>
      </c>
    </row>
    <row r="15" spans="1:18">
      <c r="A15" s="38" t="s">
        <v>31</v>
      </c>
      <c r="B15" s="40">
        <v>7083.8</v>
      </c>
      <c r="C15" s="40">
        <v>4761.3999999999996</v>
      </c>
      <c r="D15" s="40">
        <v>2322.4</v>
      </c>
      <c r="E15" s="40"/>
      <c r="F15" s="40">
        <v>4886.1000000000004</v>
      </c>
      <c r="G15" s="40">
        <v>3919.5</v>
      </c>
      <c r="H15" s="41">
        <v>399.1</v>
      </c>
      <c r="I15" s="41"/>
      <c r="J15" s="41">
        <v>607</v>
      </c>
      <c r="K15" s="41"/>
      <c r="L15" s="41">
        <v>-39.5</v>
      </c>
      <c r="M15" s="40">
        <v>2197.6999999999998</v>
      </c>
      <c r="N15" s="41">
        <v>129.80000000000001</v>
      </c>
      <c r="O15" s="41">
        <v>8</v>
      </c>
      <c r="P15" s="40">
        <v>2059.9</v>
      </c>
      <c r="Q15" s="41">
        <v>663.4</v>
      </c>
      <c r="R15" s="40">
        <v>1396.5</v>
      </c>
    </row>
    <row r="16" spans="1:18">
      <c r="A16" s="38" t="s">
        <v>32</v>
      </c>
      <c r="B16" s="40">
        <v>7323.4</v>
      </c>
      <c r="C16" s="40">
        <v>4923.1000000000004</v>
      </c>
      <c r="D16" s="40">
        <v>2400.3000000000002</v>
      </c>
      <c r="E16" s="40"/>
      <c r="F16" s="40">
        <v>4906.7</v>
      </c>
      <c r="G16" s="40">
        <v>4004.4</v>
      </c>
      <c r="H16" s="41">
        <v>408.4</v>
      </c>
      <c r="I16" s="41"/>
      <c r="J16" s="41">
        <v>554.29999999999995</v>
      </c>
      <c r="K16" s="41"/>
      <c r="L16" s="41">
        <v>-60.4</v>
      </c>
      <c r="M16" s="40">
        <v>2416.6999999999998</v>
      </c>
      <c r="N16" s="41">
        <v>130.5</v>
      </c>
      <c r="O16" s="41">
        <v>13.6</v>
      </c>
      <c r="P16" s="40">
        <v>2272.6</v>
      </c>
      <c r="Q16" s="41">
        <v>750.4</v>
      </c>
      <c r="R16" s="40">
        <v>1522.2</v>
      </c>
    </row>
    <row r="17" spans="1:18">
      <c r="A17" s="38" t="s">
        <v>33</v>
      </c>
      <c r="B17" s="40">
        <v>7093.2000000000007</v>
      </c>
      <c r="C17" s="40">
        <v>4744.3000000000011</v>
      </c>
      <c r="D17" s="40">
        <v>2348.8999999999996</v>
      </c>
      <c r="E17" s="40"/>
      <c r="F17" s="40">
        <v>4892.7999999999993</v>
      </c>
      <c r="G17" s="40">
        <v>3928.7000000000025</v>
      </c>
      <c r="H17" s="41">
        <v>421.70000000000027</v>
      </c>
      <c r="I17" s="41"/>
      <c r="J17" s="41">
        <v>627.79999999999995</v>
      </c>
      <c r="K17" s="41"/>
      <c r="L17" s="41">
        <v>-85.4</v>
      </c>
      <c r="M17" s="40">
        <v>2200.3999999999996</v>
      </c>
      <c r="N17" s="41">
        <v>133.5</v>
      </c>
      <c r="O17" s="41">
        <v>11.7</v>
      </c>
      <c r="P17" s="40">
        <v>2055.2000000000007</v>
      </c>
      <c r="Q17" s="41">
        <v>658.19999999999982</v>
      </c>
      <c r="R17" s="40">
        <v>1397</v>
      </c>
    </row>
    <row r="18" spans="1:18">
      <c r="A18" s="38" t="s">
        <v>34</v>
      </c>
      <c r="B18" s="40">
        <v>6700.3</v>
      </c>
      <c r="C18" s="40">
        <v>4490.5</v>
      </c>
      <c r="D18" s="40">
        <v>2209.8000000000002</v>
      </c>
      <c r="E18" s="40"/>
      <c r="F18" s="40">
        <v>4764.3</v>
      </c>
      <c r="G18" s="40">
        <v>3767.1</v>
      </c>
      <c r="H18" s="41">
        <v>417.1</v>
      </c>
      <c r="I18" s="41"/>
      <c r="J18" s="41">
        <v>620.4</v>
      </c>
      <c r="K18" s="41"/>
      <c r="L18" s="41">
        <v>-40.299999999999997</v>
      </c>
      <c r="M18" s="40">
        <v>1936</v>
      </c>
      <c r="N18" s="41">
        <v>135.5</v>
      </c>
      <c r="O18" s="41">
        <v>17.2</v>
      </c>
      <c r="P18" s="40">
        <v>1783.3</v>
      </c>
      <c r="Q18" s="41">
        <v>578.5</v>
      </c>
      <c r="R18" s="40">
        <v>1204.8</v>
      </c>
    </row>
    <row r="19" spans="1:18">
      <c r="A19" s="38" t="s">
        <v>35</v>
      </c>
      <c r="B19" s="40">
        <v>7181.7</v>
      </c>
      <c r="C19" s="40">
        <v>4785.8999999999996</v>
      </c>
      <c r="D19" s="40">
        <v>2395.8000000000002</v>
      </c>
      <c r="E19" s="40"/>
      <c r="F19" s="40">
        <v>4992.7</v>
      </c>
      <c r="G19" s="40">
        <v>3969.8</v>
      </c>
      <c r="H19" s="41">
        <v>427.6</v>
      </c>
      <c r="I19" s="41"/>
      <c r="J19" s="41">
        <v>629.20000000000005</v>
      </c>
      <c r="K19" s="41"/>
      <c r="L19" s="41">
        <v>-33.9</v>
      </c>
      <c r="M19" s="40">
        <v>2189</v>
      </c>
      <c r="N19" s="41">
        <v>137.9</v>
      </c>
      <c r="O19" s="41">
        <v>-20.399999999999999</v>
      </c>
      <c r="P19" s="40">
        <v>2071.5</v>
      </c>
      <c r="Q19" s="41">
        <v>684.4</v>
      </c>
      <c r="R19" s="40">
        <v>1387.1</v>
      </c>
    </row>
    <row r="20" spans="1:18">
      <c r="A20" s="38" t="s">
        <v>36</v>
      </c>
      <c r="B20" s="40">
        <v>6987.1</v>
      </c>
      <c r="C20" s="40">
        <v>4596.2</v>
      </c>
      <c r="D20" s="40">
        <v>2390.9</v>
      </c>
      <c r="E20" s="40"/>
      <c r="F20" s="40">
        <v>4914.6000000000004</v>
      </c>
      <c r="G20" s="40">
        <v>3874.7</v>
      </c>
      <c r="H20" s="41">
        <v>431.2</v>
      </c>
      <c r="I20" s="41"/>
      <c r="J20" s="41">
        <v>575.79999999999995</v>
      </c>
      <c r="K20" s="41"/>
      <c r="L20" s="41">
        <v>32.9</v>
      </c>
      <c r="M20" s="40">
        <v>2072.5</v>
      </c>
      <c r="N20" s="41">
        <v>149.30000000000001</v>
      </c>
      <c r="O20" s="41">
        <v>2.1</v>
      </c>
      <c r="P20" s="40">
        <v>1921.1</v>
      </c>
      <c r="Q20" s="41">
        <v>852.7</v>
      </c>
      <c r="R20" s="40">
        <v>1068.4000000000001</v>
      </c>
    </row>
    <row r="21" spans="1:18">
      <c r="A21" s="38" t="s">
        <v>37</v>
      </c>
      <c r="B21" s="40">
        <v>6572.2000000000007</v>
      </c>
      <c r="C21" s="40">
        <v>4296.7000000000007</v>
      </c>
      <c r="D21" s="40">
        <v>2275.5</v>
      </c>
      <c r="E21" s="40"/>
      <c r="F21" s="40">
        <v>4820.4999999999982</v>
      </c>
      <c r="G21" s="40">
        <v>3676.7000000000025</v>
      </c>
      <c r="H21" s="41">
        <v>421.39999999999986</v>
      </c>
      <c r="I21" s="41"/>
      <c r="J21" s="41">
        <v>662.50000000000023</v>
      </c>
      <c r="K21" s="41"/>
      <c r="L21" s="41">
        <v>59.899999999999991</v>
      </c>
      <c r="M21" s="40">
        <v>1751.6999999999998</v>
      </c>
      <c r="N21" s="41">
        <v>147.80000000000001</v>
      </c>
      <c r="O21" s="41">
        <v>7.7999999999999989</v>
      </c>
      <c r="P21" s="40">
        <v>1596.1000000000004</v>
      </c>
      <c r="Q21" s="41">
        <v>498.59999999999945</v>
      </c>
      <c r="R21" s="40">
        <v>1097.5000000000005</v>
      </c>
    </row>
    <row r="22" spans="1:18">
      <c r="A22" s="38" t="s">
        <v>38</v>
      </c>
      <c r="B22" s="40">
        <v>5958.9</v>
      </c>
      <c r="C22" s="40">
        <v>3914.1</v>
      </c>
      <c r="D22" s="40">
        <v>2044.8</v>
      </c>
      <c r="E22" s="40"/>
      <c r="F22" s="40">
        <v>4573.3999999999996</v>
      </c>
      <c r="G22" s="40">
        <v>3354.3</v>
      </c>
      <c r="H22" s="41">
        <v>403.6</v>
      </c>
      <c r="I22" s="41"/>
      <c r="J22" s="41">
        <v>582.79999999999995</v>
      </c>
      <c r="K22" s="41"/>
      <c r="L22" s="41">
        <v>232.7</v>
      </c>
      <c r="M22" s="40">
        <v>1385.5</v>
      </c>
      <c r="N22" s="41">
        <v>147.30000000000001</v>
      </c>
      <c r="O22" s="41">
        <v>-15.9</v>
      </c>
      <c r="P22" s="40">
        <v>1254.0999999999999</v>
      </c>
      <c r="Q22" s="41">
        <v>442.6</v>
      </c>
      <c r="R22" s="40">
        <v>811.49999999999989</v>
      </c>
    </row>
    <row r="23" spans="1:18">
      <c r="A23" s="38" t="s">
        <v>39</v>
      </c>
      <c r="B23" s="40">
        <v>6497.7</v>
      </c>
      <c r="C23" s="40">
        <v>4261.1000000000004</v>
      </c>
      <c r="D23" s="40">
        <v>2236.6</v>
      </c>
      <c r="E23" s="40"/>
      <c r="F23" s="40">
        <v>4648.3999999999996</v>
      </c>
      <c r="G23" s="40">
        <v>3596.3</v>
      </c>
      <c r="H23" s="41">
        <v>411</v>
      </c>
      <c r="I23" s="41"/>
      <c r="J23" s="41">
        <v>592.4</v>
      </c>
      <c r="K23" s="41"/>
      <c r="L23" s="41">
        <v>48.7</v>
      </c>
      <c r="M23" s="40">
        <v>1849.3</v>
      </c>
      <c r="N23" s="41">
        <v>149.19999999999999</v>
      </c>
      <c r="O23" s="41">
        <v>-12.3</v>
      </c>
      <c r="P23" s="40">
        <v>1712.4</v>
      </c>
      <c r="Q23" s="41">
        <v>510</v>
      </c>
      <c r="R23" s="40">
        <v>1202.4000000000001</v>
      </c>
    </row>
    <row r="24" spans="1:18">
      <c r="A24" s="38" t="s">
        <v>40</v>
      </c>
      <c r="B24" s="40">
        <v>6615.1</v>
      </c>
      <c r="C24" s="40">
        <v>4282.8999999999996</v>
      </c>
      <c r="D24" s="40">
        <v>2332.1999999999998</v>
      </c>
      <c r="E24" s="40"/>
      <c r="F24" s="40">
        <v>4584.8</v>
      </c>
      <c r="G24" s="40">
        <v>3607.7</v>
      </c>
      <c r="H24" s="41">
        <v>416.1</v>
      </c>
      <c r="I24" s="41"/>
      <c r="J24" s="41">
        <v>584</v>
      </c>
      <c r="K24" s="41"/>
      <c r="L24" s="41">
        <v>-23</v>
      </c>
      <c r="M24" s="40">
        <v>2030.3</v>
      </c>
      <c r="N24" s="41">
        <v>160.9</v>
      </c>
      <c r="O24" s="41">
        <v>-9</v>
      </c>
      <c r="P24" s="40">
        <v>1878.4</v>
      </c>
      <c r="Q24" s="41">
        <v>569.20000000000005</v>
      </c>
      <c r="R24" s="40">
        <v>1309.2</v>
      </c>
    </row>
    <row r="25" spans="1:18">
      <c r="A25" s="38" t="s">
        <v>41</v>
      </c>
      <c r="B25" s="40">
        <v>6341.3000000000029</v>
      </c>
      <c r="C25" s="40">
        <v>4030.1999999999989</v>
      </c>
      <c r="D25" s="40">
        <v>2311.1000000000013</v>
      </c>
      <c r="E25" s="40"/>
      <c r="F25" s="40">
        <v>4460.9000000000015</v>
      </c>
      <c r="G25" s="40">
        <v>3418.6000000000022</v>
      </c>
      <c r="H25" s="41">
        <v>416.20000000000005</v>
      </c>
      <c r="I25" s="41"/>
      <c r="J25" s="41">
        <v>675.10000000000036</v>
      </c>
      <c r="K25" s="41"/>
      <c r="L25" s="41">
        <v>-48.999999999999972</v>
      </c>
      <c r="M25" s="40">
        <v>1880.3999999999996</v>
      </c>
      <c r="N25" s="41">
        <v>180.89999999999998</v>
      </c>
      <c r="O25" s="41">
        <v>-11.299999999999997</v>
      </c>
      <c r="P25" s="40">
        <v>1710.8000000000002</v>
      </c>
      <c r="Q25" s="41">
        <v>504.59999999999991</v>
      </c>
      <c r="R25" s="40">
        <v>1206.1999999999998</v>
      </c>
    </row>
    <row r="26" spans="1:18">
      <c r="A26" s="38" t="s">
        <v>42</v>
      </c>
      <c r="B26" s="40">
        <v>5903.9</v>
      </c>
      <c r="C26" s="40">
        <v>3753.5</v>
      </c>
      <c r="D26" s="40">
        <v>2150.4</v>
      </c>
      <c r="E26" s="40"/>
      <c r="F26" s="40">
        <v>4123.6000000000004</v>
      </c>
      <c r="G26" s="40">
        <v>3175.3</v>
      </c>
      <c r="H26" s="41">
        <v>415.1</v>
      </c>
      <c r="I26" s="41"/>
      <c r="J26" s="41">
        <v>578</v>
      </c>
      <c r="K26" s="41"/>
      <c r="L26" s="41">
        <v>-44.8</v>
      </c>
      <c r="M26" s="40">
        <v>1780.3</v>
      </c>
      <c r="N26" s="41">
        <v>218.3</v>
      </c>
      <c r="O26" s="41">
        <v>-14.4</v>
      </c>
      <c r="P26" s="40">
        <v>1576.4</v>
      </c>
      <c r="Q26" s="41">
        <v>477.8</v>
      </c>
      <c r="R26" s="40">
        <v>1098.5999999999999</v>
      </c>
    </row>
    <row r="27" spans="1:18">
      <c r="A27" s="38" t="s">
        <v>43</v>
      </c>
      <c r="B27" s="40">
        <v>6265</v>
      </c>
      <c r="C27" s="40">
        <v>3916.6</v>
      </c>
      <c r="D27" s="40">
        <v>2348.4</v>
      </c>
      <c r="E27" s="40"/>
      <c r="F27" s="40">
        <v>4407.1000000000004</v>
      </c>
      <c r="G27" s="40">
        <v>3248.1</v>
      </c>
      <c r="H27" s="41">
        <v>430.9</v>
      </c>
      <c r="I27" s="41"/>
      <c r="J27" s="41">
        <v>596.1</v>
      </c>
      <c r="K27" s="41"/>
      <c r="L27" s="41">
        <v>132</v>
      </c>
      <c r="M27" s="40">
        <v>1857.9</v>
      </c>
      <c r="N27" s="41">
        <v>223.9</v>
      </c>
      <c r="O27" s="41">
        <v>-16.2</v>
      </c>
      <c r="P27" s="40">
        <v>1650.2</v>
      </c>
      <c r="Q27" s="41">
        <v>557.29999999999995</v>
      </c>
      <c r="R27" s="40">
        <v>1092.9000000000001</v>
      </c>
    </row>
    <row r="28" spans="1:18">
      <c r="A28" s="38" t="s">
        <v>44</v>
      </c>
      <c r="B28" s="40">
        <v>6424.1</v>
      </c>
      <c r="C28" s="40">
        <v>3972.1</v>
      </c>
      <c r="D28" s="40">
        <v>2452</v>
      </c>
      <c r="E28" s="40"/>
      <c r="F28" s="40">
        <v>4286.8</v>
      </c>
      <c r="G28" s="40">
        <v>3239.5</v>
      </c>
      <c r="H28" s="41">
        <v>437.6</v>
      </c>
      <c r="I28" s="41"/>
      <c r="J28" s="41">
        <v>582.9</v>
      </c>
      <c r="K28" s="41"/>
      <c r="L28" s="41">
        <v>26.8</v>
      </c>
      <c r="M28" s="40">
        <v>2137.3000000000002</v>
      </c>
      <c r="N28" s="41">
        <v>221.4</v>
      </c>
      <c r="O28" s="41">
        <v>11.4</v>
      </c>
      <c r="P28" s="40">
        <v>1904.5</v>
      </c>
      <c r="Q28" s="41">
        <v>629.1</v>
      </c>
      <c r="R28" s="40">
        <v>1275.4000000000001</v>
      </c>
    </row>
    <row r="29" spans="1:18">
      <c r="A29" s="38" t="s">
        <v>45</v>
      </c>
      <c r="B29" s="40">
        <v>6028.9000000000015</v>
      </c>
      <c r="C29" s="40">
        <v>3652.7999999999993</v>
      </c>
      <c r="D29" s="40">
        <v>2376.0999999999995</v>
      </c>
      <c r="E29" s="40"/>
      <c r="F29" s="40">
        <v>4059.9000000000015</v>
      </c>
      <c r="G29" s="40">
        <v>3035.8999999999996</v>
      </c>
      <c r="H29" s="41">
        <v>434.80000000000018</v>
      </c>
      <c r="I29" s="41"/>
      <c r="J29" s="41">
        <v>627.5</v>
      </c>
      <c r="K29" s="41"/>
      <c r="L29" s="41">
        <v>-38.299999999999997</v>
      </c>
      <c r="M29" s="40">
        <v>1969</v>
      </c>
      <c r="N29" s="41">
        <v>221.19999999999993</v>
      </c>
      <c r="O29" s="41">
        <v>12.900000000000002</v>
      </c>
      <c r="P29" s="40">
        <v>1734.8999999999996</v>
      </c>
      <c r="Q29" s="41">
        <v>515.30000000000018</v>
      </c>
      <c r="R29" s="40">
        <v>1219.5999999999999</v>
      </c>
    </row>
    <row r="30" spans="1:18">
      <c r="A30" s="38" t="s">
        <v>46</v>
      </c>
      <c r="B30" s="40">
        <v>5675.9</v>
      </c>
      <c r="C30" s="40">
        <v>3411.9</v>
      </c>
      <c r="D30" s="40">
        <v>2264</v>
      </c>
      <c r="E30" s="40"/>
      <c r="F30" s="40">
        <v>3641.9</v>
      </c>
      <c r="G30" s="40">
        <v>2816.4</v>
      </c>
      <c r="H30" s="41">
        <v>430.1</v>
      </c>
      <c r="I30" s="41"/>
      <c r="J30" s="41">
        <v>521.29999999999995</v>
      </c>
      <c r="K30" s="41"/>
      <c r="L30" s="41">
        <v>-125.9</v>
      </c>
      <c r="M30" s="40">
        <v>2034</v>
      </c>
      <c r="N30" s="41">
        <v>218.6</v>
      </c>
      <c r="O30" s="41">
        <v>7.9</v>
      </c>
      <c r="P30" s="40">
        <v>1807.5</v>
      </c>
      <c r="Q30" s="41">
        <v>592.70000000000005</v>
      </c>
      <c r="R30" s="40">
        <v>1214.8</v>
      </c>
    </row>
    <row r="31" spans="1:18">
      <c r="A31" s="38" t="s">
        <v>47</v>
      </c>
      <c r="B31" s="40">
        <v>6049.7</v>
      </c>
      <c r="C31" s="40">
        <v>3569.6</v>
      </c>
      <c r="D31" s="40">
        <v>2480.1</v>
      </c>
      <c r="E31" s="40"/>
      <c r="F31" s="40">
        <v>3754.6</v>
      </c>
      <c r="G31" s="40">
        <v>2903.3</v>
      </c>
      <c r="H31" s="41">
        <v>438</v>
      </c>
      <c r="I31" s="41"/>
      <c r="J31" s="41">
        <v>525.4</v>
      </c>
      <c r="K31" s="41"/>
      <c r="L31" s="41">
        <v>-112.1</v>
      </c>
      <c r="M31" s="40">
        <v>2295.1</v>
      </c>
      <c r="N31" s="41">
        <v>230.9</v>
      </c>
      <c r="O31" s="41">
        <v>2.8</v>
      </c>
      <c r="P31" s="40">
        <v>2061.4</v>
      </c>
      <c r="Q31" s="41">
        <v>666.3</v>
      </c>
      <c r="R31" s="40">
        <v>1395.1</v>
      </c>
    </row>
    <row r="32" spans="1:18">
      <c r="A32" s="38" t="s">
        <v>48</v>
      </c>
      <c r="B32" s="40">
        <v>5754.6</v>
      </c>
      <c r="C32" s="40">
        <v>3064.3</v>
      </c>
      <c r="D32" s="40">
        <v>2690.3</v>
      </c>
      <c r="E32" s="40"/>
      <c r="F32" s="40">
        <v>2675.2</v>
      </c>
      <c r="G32" s="40">
        <v>2479.8000000000002</v>
      </c>
      <c r="H32" s="41">
        <v>457.3</v>
      </c>
      <c r="I32" s="41"/>
      <c r="J32" s="41">
        <v>567</v>
      </c>
      <c r="K32" s="41"/>
      <c r="L32" s="41">
        <v>-828.9</v>
      </c>
      <c r="M32" s="40">
        <v>3079.4</v>
      </c>
      <c r="N32" s="41">
        <v>236.7</v>
      </c>
      <c r="O32" s="41">
        <v>23.2</v>
      </c>
      <c r="P32" s="40">
        <v>2819.5</v>
      </c>
      <c r="Q32" s="41">
        <v>935.8</v>
      </c>
      <c r="R32" s="40">
        <v>1883.7</v>
      </c>
    </row>
    <row r="33" spans="1:18">
      <c r="A33" s="38" t="s">
        <v>49</v>
      </c>
      <c r="B33" s="40">
        <v>5340.2000000000044</v>
      </c>
      <c r="C33" s="40">
        <v>2673.1000000000004</v>
      </c>
      <c r="D33" s="40">
        <v>2667.0999999999995</v>
      </c>
      <c r="E33" s="40"/>
      <c r="F33" s="40">
        <v>3196</v>
      </c>
      <c r="G33" s="40">
        <v>2210.1000000000004</v>
      </c>
      <c r="H33" s="41">
        <v>464.59999999999991</v>
      </c>
      <c r="I33" s="41"/>
      <c r="J33" s="41">
        <v>617.60000000000036</v>
      </c>
      <c r="K33" s="41"/>
      <c r="L33" s="41">
        <v>-96.299999999999955</v>
      </c>
      <c r="M33" s="40">
        <v>2144.2000000000007</v>
      </c>
      <c r="N33" s="41">
        <v>235.09999999999991</v>
      </c>
      <c r="O33" s="41">
        <v>24</v>
      </c>
      <c r="P33" s="40">
        <v>1885.1000000000004</v>
      </c>
      <c r="Q33" s="41">
        <v>1186.3999999999996</v>
      </c>
      <c r="R33" s="40">
        <v>698.70000000000073</v>
      </c>
    </row>
    <row r="34" spans="1:18">
      <c r="A34" s="38" t="s">
        <v>50</v>
      </c>
      <c r="B34" s="40">
        <v>5138.8999999999996</v>
      </c>
      <c r="C34" s="40">
        <v>2535.6</v>
      </c>
      <c r="D34" s="40">
        <v>2603.3000000000002</v>
      </c>
      <c r="E34" s="40"/>
      <c r="F34" s="40">
        <v>2995.8</v>
      </c>
      <c r="G34" s="40">
        <v>2130.9</v>
      </c>
      <c r="H34" s="41">
        <v>480.3</v>
      </c>
      <c r="I34" s="41"/>
      <c r="J34" s="41">
        <v>533.1</v>
      </c>
      <c r="K34" s="41"/>
      <c r="L34" s="41">
        <v>-148.5</v>
      </c>
      <c r="M34" s="40">
        <v>2143.1</v>
      </c>
      <c r="N34" s="41">
        <v>236.8</v>
      </c>
      <c r="O34" s="41">
        <v>18.399999999999999</v>
      </c>
      <c r="P34" s="40">
        <v>1887.9</v>
      </c>
      <c r="Q34" s="41">
        <v>512.5</v>
      </c>
      <c r="R34" s="40">
        <v>1375.4</v>
      </c>
    </row>
    <row r="35" spans="1:18">
      <c r="A35" s="38" t="s">
        <v>51</v>
      </c>
      <c r="B35" s="40">
        <v>5353.9</v>
      </c>
      <c r="C35" s="40">
        <v>2594.9</v>
      </c>
      <c r="D35" s="40">
        <v>2759</v>
      </c>
      <c r="E35" s="40"/>
      <c r="F35" s="40">
        <v>3091.6</v>
      </c>
      <c r="G35" s="40">
        <v>2130.5</v>
      </c>
      <c r="H35" s="41">
        <v>483.9</v>
      </c>
      <c r="I35" s="41"/>
      <c r="J35" s="41">
        <v>542.1</v>
      </c>
      <c r="K35" s="41"/>
      <c r="L35" s="41">
        <v>-64.900000000000006</v>
      </c>
      <c r="M35" s="40">
        <v>2262.3000000000002</v>
      </c>
      <c r="N35" s="41">
        <v>240.2</v>
      </c>
      <c r="O35" s="41">
        <v>4</v>
      </c>
      <c r="P35" s="40">
        <v>2018.1</v>
      </c>
      <c r="Q35" s="41">
        <v>521.79999999999995</v>
      </c>
      <c r="R35" s="40">
        <v>1496.3</v>
      </c>
    </row>
    <row r="36" spans="1:18">
      <c r="A36" s="38" t="s">
        <v>52</v>
      </c>
      <c r="B36" s="40">
        <v>5369.4</v>
      </c>
      <c r="C36" s="40">
        <v>2511</v>
      </c>
      <c r="D36" s="40">
        <v>2858.4</v>
      </c>
      <c r="E36" s="40"/>
      <c r="F36" s="40">
        <v>2951.7</v>
      </c>
      <c r="G36" s="40">
        <v>2047.9</v>
      </c>
      <c r="H36" s="41">
        <v>499.4</v>
      </c>
      <c r="I36" s="41"/>
      <c r="J36" s="41">
        <v>515.20000000000005</v>
      </c>
      <c r="K36" s="41"/>
      <c r="L36" s="41">
        <v>-110.8</v>
      </c>
      <c r="M36" s="40">
        <v>2417.6999999999998</v>
      </c>
      <c r="N36" s="41">
        <v>250.1</v>
      </c>
      <c r="O36" s="41">
        <v>8.9</v>
      </c>
      <c r="P36" s="40">
        <v>2158.6999999999998</v>
      </c>
      <c r="Q36" s="41">
        <v>521.4</v>
      </c>
      <c r="R36" s="40">
        <v>1637.3</v>
      </c>
    </row>
    <row r="37" spans="1:18">
      <c r="A37" s="38" t="s">
        <v>53</v>
      </c>
      <c r="B37" s="40">
        <v>5163.0000000000018</v>
      </c>
      <c r="C37" s="40">
        <v>2371.2000000000007</v>
      </c>
      <c r="D37" s="40">
        <v>2791.7999999999993</v>
      </c>
      <c r="E37" s="40"/>
      <c r="F37" s="40">
        <v>3163.5000000000018</v>
      </c>
      <c r="G37" s="40">
        <v>1956.6000000000022</v>
      </c>
      <c r="H37" s="41">
        <v>509.70000000000005</v>
      </c>
      <c r="I37" s="41"/>
      <c r="J37" s="41">
        <v>609.79999999999973</v>
      </c>
      <c r="K37" s="41"/>
      <c r="L37" s="41">
        <v>87.399999999999977</v>
      </c>
      <c r="M37" s="40">
        <v>1999.5000000000009</v>
      </c>
      <c r="N37" s="41">
        <v>254.10000000000002</v>
      </c>
      <c r="O37" s="41">
        <v>-5.9999999999999964</v>
      </c>
      <c r="P37" s="40">
        <v>1751.4000000000005</v>
      </c>
      <c r="Q37" s="41">
        <v>336.10000000000014</v>
      </c>
      <c r="R37" s="40">
        <v>1415.3000000000002</v>
      </c>
    </row>
    <row r="38" spans="1:18">
      <c r="A38" s="38" t="s">
        <v>54</v>
      </c>
      <c r="B38" s="40">
        <v>4955.6000000000004</v>
      </c>
      <c r="C38" s="40">
        <v>2240.5</v>
      </c>
      <c r="D38" s="40">
        <v>2715.1</v>
      </c>
      <c r="E38" s="40"/>
      <c r="F38" s="40">
        <v>2861.6</v>
      </c>
      <c r="G38" s="40">
        <v>1886.2</v>
      </c>
      <c r="H38" s="41">
        <v>533.1</v>
      </c>
      <c r="I38" s="41"/>
      <c r="J38" s="41">
        <v>499.1</v>
      </c>
      <c r="K38" s="41"/>
      <c r="L38" s="41">
        <v>-56.8</v>
      </c>
      <c r="M38" s="40">
        <v>2094</v>
      </c>
      <c r="N38" s="41">
        <v>274.10000000000002</v>
      </c>
      <c r="O38" s="41">
        <v>-11.4</v>
      </c>
      <c r="P38" s="40">
        <v>1831.3</v>
      </c>
      <c r="Q38" s="41">
        <v>502.9</v>
      </c>
      <c r="R38" s="40">
        <v>1328.4</v>
      </c>
    </row>
    <row r="39" spans="1:18">
      <c r="A39" s="38" t="s">
        <v>55</v>
      </c>
      <c r="B39" s="40">
        <v>5341.3</v>
      </c>
      <c r="C39" s="40">
        <v>2400.4</v>
      </c>
      <c r="D39" s="40">
        <v>2940.9</v>
      </c>
      <c r="E39" s="40"/>
      <c r="F39" s="40">
        <v>3067.4</v>
      </c>
      <c r="G39" s="40">
        <v>1967.1</v>
      </c>
      <c r="H39" s="41">
        <v>544.70000000000005</v>
      </c>
      <c r="I39" s="41"/>
      <c r="J39" s="41">
        <v>533.1</v>
      </c>
      <c r="K39" s="41"/>
      <c r="L39" s="41">
        <v>22.5</v>
      </c>
      <c r="M39" s="40">
        <v>2273.9</v>
      </c>
      <c r="N39" s="41">
        <v>284.2</v>
      </c>
      <c r="O39" s="41">
        <v>-18.100000000000001</v>
      </c>
      <c r="P39" s="40">
        <v>2007.8</v>
      </c>
      <c r="Q39" s="41">
        <v>490.9</v>
      </c>
      <c r="R39" s="40">
        <v>1516.9</v>
      </c>
    </row>
    <row r="40" spans="1:18">
      <c r="A40" s="38" t="s">
        <v>56</v>
      </c>
      <c r="B40" s="40">
        <v>5430.6</v>
      </c>
      <c r="C40" s="40">
        <v>2416.6</v>
      </c>
      <c r="D40" s="40">
        <v>3014</v>
      </c>
      <c r="E40" s="40"/>
      <c r="F40" s="40">
        <v>3021.3</v>
      </c>
      <c r="G40" s="40">
        <v>1967.7</v>
      </c>
      <c r="H40" s="41">
        <v>559.5</v>
      </c>
      <c r="J40" s="41">
        <v>543.6</v>
      </c>
      <c r="K40" s="41"/>
      <c r="L40" s="41">
        <v>-49.5</v>
      </c>
      <c r="M40" s="40">
        <v>2409.3000000000002</v>
      </c>
      <c r="N40" s="41">
        <v>280.60000000000002</v>
      </c>
      <c r="O40" s="41">
        <v>-23.5</v>
      </c>
      <c r="P40" s="40">
        <v>2152.1999999999998</v>
      </c>
      <c r="Q40" s="41">
        <v>544.29999999999995</v>
      </c>
      <c r="R40" s="40">
        <v>1607.9</v>
      </c>
    </row>
    <row r="41" spans="1:18">
      <c r="A41" s="38" t="s">
        <v>57</v>
      </c>
      <c r="B41" s="40">
        <v>5348.9999999999982</v>
      </c>
      <c r="C41" s="40">
        <v>2363.2999999999993</v>
      </c>
      <c r="D41" s="40">
        <v>2985.7000000000007</v>
      </c>
      <c r="E41" s="40"/>
      <c r="F41" s="40">
        <v>3056.4000000000015</v>
      </c>
      <c r="G41" s="40">
        <v>1939.6000000000004</v>
      </c>
      <c r="H41" s="41">
        <v>563.29999999999973</v>
      </c>
      <c r="J41" s="41">
        <v>653.59999999999991</v>
      </c>
      <c r="K41" s="41"/>
      <c r="L41" s="41">
        <v>-100.10000000000001</v>
      </c>
      <c r="M41" s="40">
        <v>2292.5999999999995</v>
      </c>
      <c r="N41" s="41">
        <v>283.00000000000011</v>
      </c>
      <c r="O41" s="41">
        <v>-17.200000000000003</v>
      </c>
      <c r="P41" s="40">
        <v>2026.8000000000011</v>
      </c>
      <c r="Q41" s="41">
        <v>454.60000000000014</v>
      </c>
      <c r="R41" s="40">
        <v>1572.1999999999989</v>
      </c>
    </row>
    <row r="42" spans="1:18">
      <c r="A42" s="38" t="s">
        <v>59</v>
      </c>
      <c r="B42" s="40">
        <v>4714.3999999999996</v>
      </c>
      <c r="C42" s="40">
        <v>2025.8</v>
      </c>
      <c r="D42" s="40">
        <v>2608</v>
      </c>
      <c r="E42" s="40">
        <v>80.599999999999994</v>
      </c>
      <c r="F42" s="40">
        <v>3020.8</v>
      </c>
      <c r="G42" s="40">
        <v>1752.8</v>
      </c>
      <c r="H42" s="41">
        <v>554.20000000000005</v>
      </c>
      <c r="I42" s="41">
        <v>65.5</v>
      </c>
      <c r="J42" s="41">
        <v>589.79999999999995</v>
      </c>
      <c r="K42" s="41"/>
      <c r="L42" s="41">
        <v>58.5</v>
      </c>
      <c r="M42" s="40">
        <v>1693.6</v>
      </c>
      <c r="N42" s="41">
        <v>280</v>
      </c>
      <c r="O42" s="41">
        <v>-31.3</v>
      </c>
      <c r="P42" s="40">
        <v>1444.9</v>
      </c>
      <c r="Q42" s="41">
        <v>338</v>
      </c>
      <c r="R42" s="40">
        <v>1106.9000000000001</v>
      </c>
    </row>
    <row r="43" spans="1:18">
      <c r="A43" s="38" t="s">
        <v>60</v>
      </c>
      <c r="B43" s="40">
        <v>3761.5</v>
      </c>
      <c r="C43" s="40">
        <v>1593.7</v>
      </c>
      <c r="D43" s="40">
        <v>2088</v>
      </c>
      <c r="E43" s="40">
        <v>79.8</v>
      </c>
      <c r="F43" s="40">
        <v>2800.4</v>
      </c>
      <c r="G43" s="40">
        <v>1448.4</v>
      </c>
      <c r="H43" s="41">
        <v>524.5</v>
      </c>
      <c r="I43" s="41">
        <v>63.3</v>
      </c>
      <c r="J43" s="41">
        <v>647</v>
      </c>
      <c r="K43" s="41"/>
      <c r="L43" s="41">
        <v>117.2</v>
      </c>
      <c r="M43" s="40">
        <v>961.1</v>
      </c>
      <c r="N43" s="41">
        <v>319.10000000000002</v>
      </c>
      <c r="O43" s="41">
        <v>-6.7</v>
      </c>
      <c r="P43" s="40">
        <v>648.70000000000005</v>
      </c>
      <c r="Q43" s="41">
        <v>164.9</v>
      </c>
      <c r="R43" s="40">
        <v>483.8</v>
      </c>
    </row>
    <row r="44" spans="1:18">
      <c r="A44" s="38" t="s">
        <v>61</v>
      </c>
      <c r="B44" s="40">
        <v>5418.1</v>
      </c>
      <c r="C44" s="40">
        <v>2286.4</v>
      </c>
      <c r="D44" s="40">
        <v>3044.8</v>
      </c>
      <c r="E44" s="40">
        <v>86.9</v>
      </c>
      <c r="F44" s="40">
        <v>2891.7</v>
      </c>
      <c r="G44" s="40">
        <v>1876.3</v>
      </c>
      <c r="H44" s="41">
        <v>567.9</v>
      </c>
      <c r="I44" s="41">
        <v>69.2</v>
      </c>
      <c r="J44" s="41">
        <v>530.5</v>
      </c>
      <c r="K44" s="41"/>
      <c r="L44" s="41">
        <v>-152.19999999999999</v>
      </c>
      <c r="M44" s="40">
        <v>2526.4</v>
      </c>
      <c r="N44" s="41">
        <v>310.10000000000002</v>
      </c>
      <c r="O44" s="41">
        <v>-0.8</v>
      </c>
      <c r="P44" s="40">
        <v>2217.1</v>
      </c>
      <c r="Q44" s="41">
        <v>454.5</v>
      </c>
      <c r="R44" s="40">
        <v>1762.6</v>
      </c>
    </row>
    <row r="45" spans="1:18">
      <c r="A45" s="38" t="s">
        <v>62</v>
      </c>
      <c r="B45" s="40">
        <v>5314</v>
      </c>
      <c r="C45" s="40">
        <v>2233.1000000000004</v>
      </c>
      <c r="D45" s="40">
        <v>2985.2</v>
      </c>
      <c r="E45" s="40">
        <v>95.700000000000017</v>
      </c>
      <c r="F45" s="40">
        <v>3171.1</v>
      </c>
      <c r="G45" s="40">
        <v>1903.5</v>
      </c>
      <c r="H45" s="41">
        <v>561.40000000000009</v>
      </c>
      <c r="I45" s="41">
        <v>69</v>
      </c>
      <c r="J45" s="41">
        <v>778.7</v>
      </c>
      <c r="K45" s="41"/>
      <c r="L45" s="41">
        <v>-141.5</v>
      </c>
      <c r="M45" s="40">
        <v>2142.8999999999996</v>
      </c>
      <c r="N45" s="41">
        <v>308.79999999999995</v>
      </c>
      <c r="O45" s="41">
        <v>3.7999999999999972</v>
      </c>
      <c r="P45" s="40">
        <v>1830.2999999999993</v>
      </c>
      <c r="Q45" s="41">
        <v>452.6</v>
      </c>
      <c r="R45" s="40">
        <v>1377.6999999999998</v>
      </c>
    </row>
    <row r="46" spans="1:18">
      <c r="A46" s="38" t="s">
        <v>63</v>
      </c>
      <c r="B46" s="40">
        <v>5124.6000000000004</v>
      </c>
      <c r="C46" s="40">
        <v>2161.5</v>
      </c>
      <c r="D46" s="40">
        <v>2877.4</v>
      </c>
      <c r="E46" s="40">
        <v>85.7</v>
      </c>
      <c r="F46" s="40">
        <v>2843.3</v>
      </c>
      <c r="G46" s="40">
        <v>1817.6</v>
      </c>
      <c r="H46" s="41">
        <v>571.5</v>
      </c>
      <c r="I46" s="41">
        <v>67.2</v>
      </c>
      <c r="J46" s="41">
        <v>566.4</v>
      </c>
      <c r="K46" s="41"/>
      <c r="L46" s="41">
        <v>-179.4</v>
      </c>
      <c r="M46" s="40">
        <v>2281.3000000000002</v>
      </c>
      <c r="N46" s="41">
        <v>300</v>
      </c>
      <c r="O46" s="41">
        <v>28.6</v>
      </c>
      <c r="P46" s="40">
        <v>1952.7</v>
      </c>
      <c r="Q46" s="41">
        <v>415.5</v>
      </c>
      <c r="R46" s="40">
        <v>1537.2</v>
      </c>
    </row>
    <row r="47" spans="1:18">
      <c r="A47" s="38" t="s">
        <v>68</v>
      </c>
      <c r="B47" s="40">
        <v>5887.9</v>
      </c>
      <c r="C47" s="40">
        <v>2488.6999999999998</v>
      </c>
      <c r="D47" s="40">
        <v>3306.2</v>
      </c>
      <c r="E47" s="40">
        <v>93</v>
      </c>
      <c r="F47" s="40">
        <v>3196.8</v>
      </c>
      <c r="G47" s="40">
        <v>2021</v>
      </c>
      <c r="H47" s="41">
        <v>579.1</v>
      </c>
      <c r="I47" s="41">
        <v>68.3</v>
      </c>
      <c r="J47" s="41">
        <v>655.5</v>
      </c>
      <c r="K47" s="41"/>
      <c r="L47" s="41">
        <v>-127.1</v>
      </c>
      <c r="M47" s="40">
        <v>2691.1</v>
      </c>
      <c r="N47" s="41">
        <v>296.5</v>
      </c>
      <c r="O47" s="41">
        <v>18.600000000000001</v>
      </c>
      <c r="P47" s="40">
        <v>2376</v>
      </c>
      <c r="Q47" s="41">
        <v>156.69999999999999</v>
      </c>
      <c r="R47" s="40">
        <v>2219.3000000000002</v>
      </c>
    </row>
    <row r="48" spans="1:18">
      <c r="A48" s="38" t="s">
        <v>69</v>
      </c>
      <c r="B48" s="40">
        <v>6201.3</v>
      </c>
      <c r="C48" s="40">
        <v>2598.4</v>
      </c>
      <c r="D48" s="40">
        <v>3510.2</v>
      </c>
      <c r="E48" s="40">
        <v>92.7</v>
      </c>
      <c r="F48" s="40">
        <v>3214.8</v>
      </c>
      <c r="G48" s="40">
        <v>2108.4</v>
      </c>
      <c r="H48" s="41">
        <v>592.6</v>
      </c>
      <c r="I48" s="41">
        <v>68.900000000000006</v>
      </c>
      <c r="J48" s="41">
        <v>643.70000000000005</v>
      </c>
      <c r="K48" s="41"/>
      <c r="L48" s="41">
        <v>-198.8</v>
      </c>
      <c r="M48" s="40">
        <v>2986.5</v>
      </c>
      <c r="N48" s="41">
        <v>293.7</v>
      </c>
      <c r="O48" s="41">
        <v>1.4</v>
      </c>
      <c r="P48" s="40">
        <v>2691.4</v>
      </c>
      <c r="Q48" s="41">
        <v>541.5</v>
      </c>
      <c r="R48" s="40">
        <v>2149.9</v>
      </c>
    </row>
    <row r="49" spans="1:18">
      <c r="A49" s="38" t="s">
        <v>67</v>
      </c>
      <c r="B49" s="40">
        <v>6009.2000000000007</v>
      </c>
      <c r="C49" s="40">
        <v>2538.3999999999996</v>
      </c>
      <c r="D49" s="40">
        <v>3391.2000000000007</v>
      </c>
      <c r="E49" s="40">
        <v>79.600000000000023</v>
      </c>
      <c r="F49" s="40">
        <v>3612.0999999999985</v>
      </c>
      <c r="G49" s="40">
        <v>2100</v>
      </c>
      <c r="H49" s="41">
        <v>591.80000000000018</v>
      </c>
      <c r="I49" s="41">
        <v>55.599999999999994</v>
      </c>
      <c r="J49" s="41">
        <v>842.39999999999986</v>
      </c>
      <c r="K49" s="41"/>
      <c r="L49" s="41">
        <v>22.300000000000011</v>
      </c>
      <c r="M49" s="40">
        <v>2397.1000000000004</v>
      </c>
      <c r="N49" s="41">
        <v>295.79999999999995</v>
      </c>
      <c r="O49" s="41">
        <v>-6.6000000000000014</v>
      </c>
      <c r="P49" s="40">
        <v>2107.8999999999996</v>
      </c>
      <c r="Q49" s="41">
        <v>469.29999999999995</v>
      </c>
      <c r="R49" s="40">
        <v>1638.6000000000004</v>
      </c>
    </row>
    <row r="50" spans="1:18">
      <c r="A50" s="38" t="s">
        <v>71</v>
      </c>
      <c r="B50" s="40">
        <v>5665.6</v>
      </c>
      <c r="C50" s="40">
        <v>2302.4</v>
      </c>
      <c r="D50" s="40">
        <v>3262.8</v>
      </c>
      <c r="E50" s="40">
        <v>100.4</v>
      </c>
      <c r="F50" s="40">
        <v>3353</v>
      </c>
      <c r="G50" s="40">
        <v>1959.2</v>
      </c>
      <c r="H50" s="41">
        <v>584</v>
      </c>
      <c r="I50" s="41">
        <v>72.3</v>
      </c>
      <c r="J50" s="41">
        <v>677</v>
      </c>
      <c r="K50" s="41"/>
      <c r="L50" s="41">
        <v>60.5</v>
      </c>
      <c r="M50" s="40">
        <v>2312.6</v>
      </c>
      <c r="N50" s="41">
        <v>287.3</v>
      </c>
      <c r="O50" s="41">
        <v>484.1</v>
      </c>
      <c r="P50" s="40">
        <v>1541.2</v>
      </c>
      <c r="Q50" s="41">
        <v>436.8</v>
      </c>
      <c r="R50" s="40">
        <v>1104.4000000000001</v>
      </c>
    </row>
    <row r="51" spans="1:18">
      <c r="A51" s="38" t="s">
        <v>75</v>
      </c>
      <c r="B51" s="40">
        <v>5718.4</v>
      </c>
      <c r="C51" s="40">
        <v>2112.8000000000002</v>
      </c>
      <c r="D51" s="40">
        <v>3526.8</v>
      </c>
      <c r="E51" s="40">
        <v>78.8</v>
      </c>
      <c r="F51" s="40">
        <v>4006.6</v>
      </c>
      <c r="G51" s="40">
        <v>1769.8</v>
      </c>
      <c r="H51" s="41">
        <v>588.6</v>
      </c>
      <c r="I51" s="41">
        <v>57.9</v>
      </c>
      <c r="J51" s="41">
        <v>704.2</v>
      </c>
      <c r="K51" s="41"/>
      <c r="L51" s="41">
        <v>886.1</v>
      </c>
      <c r="M51" s="40">
        <v>1711.8</v>
      </c>
      <c r="N51" s="41">
        <v>290.60000000000002</v>
      </c>
      <c r="O51" s="41">
        <v>12.1</v>
      </c>
      <c r="P51" s="40">
        <v>1409.1</v>
      </c>
      <c r="Q51" s="41">
        <v>221.1</v>
      </c>
      <c r="R51" s="40">
        <v>1188</v>
      </c>
    </row>
    <row r="52" spans="1:18">
      <c r="A52" s="38" t="s">
        <v>76</v>
      </c>
      <c r="B52" s="40">
        <v>5872.1</v>
      </c>
      <c r="C52" s="40">
        <v>2124.8000000000002</v>
      </c>
      <c r="D52" s="40">
        <v>3671.2</v>
      </c>
      <c r="E52" s="40">
        <v>76.099999999999994</v>
      </c>
      <c r="F52" s="40">
        <v>3108.2</v>
      </c>
      <c r="G52" s="40">
        <v>1779.6</v>
      </c>
      <c r="H52" s="41">
        <v>589</v>
      </c>
      <c r="I52" s="41">
        <v>57.4</v>
      </c>
      <c r="J52" s="41">
        <v>669.69999999999993</v>
      </c>
      <c r="K52" s="41"/>
      <c r="L52" s="41">
        <v>12.5</v>
      </c>
      <c r="M52" s="40">
        <v>2763.9</v>
      </c>
      <c r="N52" s="41">
        <v>306.2</v>
      </c>
      <c r="O52" s="41">
        <v>-78.5</v>
      </c>
      <c r="P52" s="40">
        <v>2536.1999999999998</v>
      </c>
      <c r="Q52" s="41">
        <v>554.6</v>
      </c>
      <c r="R52" s="40">
        <v>1981.6</v>
      </c>
    </row>
    <row r="53" spans="1:18">
      <c r="A53" s="38" t="s">
        <v>77</v>
      </c>
      <c r="B53" s="40">
        <v>5966.9000000000015</v>
      </c>
      <c r="C53" s="40">
        <v>3246.9999999999991</v>
      </c>
      <c r="D53" s="40">
        <v>2624.2000000000007</v>
      </c>
      <c r="E53" s="40">
        <v>95.700000000000017</v>
      </c>
      <c r="F53" s="40">
        <v>2399.2000000000007</v>
      </c>
      <c r="G53" s="40">
        <v>2538.3999999999996</v>
      </c>
      <c r="H53" s="41">
        <v>573.40000000000009</v>
      </c>
      <c r="I53" s="41">
        <v>72.400000000000006</v>
      </c>
      <c r="J53" s="41">
        <v>657.09999999999991</v>
      </c>
      <c r="K53" s="41"/>
      <c r="L53" s="41">
        <v>-1442.1</v>
      </c>
      <c r="M53" s="40">
        <v>3567.7000000000007</v>
      </c>
      <c r="N53" s="41">
        <v>301.89999999999986</v>
      </c>
      <c r="O53" s="41">
        <v>-375.70000000000005</v>
      </c>
      <c r="P53" s="40">
        <v>3641.5</v>
      </c>
      <c r="Q53" s="41">
        <v>370.5</v>
      </c>
      <c r="R53" s="40">
        <v>3271</v>
      </c>
    </row>
    <row r="54" spans="1:18">
      <c r="A54" s="38" t="s">
        <v>79</v>
      </c>
      <c r="B54" s="40">
        <v>5897.8</v>
      </c>
      <c r="C54" s="40">
        <v>2224.3000000000002</v>
      </c>
      <c r="D54" s="40">
        <v>3587.5</v>
      </c>
      <c r="E54" s="40">
        <v>86</v>
      </c>
      <c r="F54" s="40">
        <v>3365.4</v>
      </c>
      <c r="G54" s="40">
        <v>1923.1</v>
      </c>
      <c r="H54" s="41">
        <v>598.29999999999995</v>
      </c>
      <c r="I54" s="41">
        <v>62.8</v>
      </c>
      <c r="J54" s="41">
        <v>652.59999999999991</v>
      </c>
      <c r="K54" s="41"/>
      <c r="L54" s="41">
        <v>128.6</v>
      </c>
      <c r="M54" s="40">
        <v>2532.4</v>
      </c>
      <c r="N54" s="41">
        <v>329.7</v>
      </c>
      <c r="O54" s="41">
        <v>-64.3</v>
      </c>
      <c r="P54" s="40">
        <v>2267</v>
      </c>
      <c r="Q54" s="41">
        <v>464.7</v>
      </c>
      <c r="R54" s="40">
        <v>1802.3</v>
      </c>
    </row>
    <row r="55" spans="1:18">
      <c r="A55" s="38" t="s">
        <v>84</v>
      </c>
      <c r="B55" s="40">
        <v>6497.5</v>
      </c>
      <c r="C55" s="40">
        <v>2487</v>
      </c>
      <c r="D55" s="40">
        <v>3933.3</v>
      </c>
      <c r="E55" s="40">
        <v>77.2</v>
      </c>
      <c r="F55" s="40">
        <v>3393.4</v>
      </c>
      <c r="G55" s="40">
        <v>2091.3000000000002</v>
      </c>
      <c r="H55" s="41">
        <v>618.20000000000005</v>
      </c>
      <c r="I55" s="41">
        <v>57</v>
      </c>
      <c r="J55" s="41">
        <v>662.7</v>
      </c>
      <c r="K55" s="41"/>
      <c r="L55" s="41">
        <v>-35.799999999999997</v>
      </c>
      <c r="M55" s="40">
        <v>3104.1</v>
      </c>
      <c r="N55" s="41">
        <v>330.2</v>
      </c>
      <c r="O55" s="41">
        <v>-42.8</v>
      </c>
      <c r="P55" s="40">
        <v>2816.7</v>
      </c>
      <c r="Q55" s="41">
        <v>506.3</v>
      </c>
      <c r="R55" s="40">
        <v>2310.4</v>
      </c>
    </row>
    <row r="56" spans="1:18">
      <c r="A56" s="38" t="s">
        <v>85</v>
      </c>
      <c r="B56" s="40">
        <v>6692.2</v>
      </c>
      <c r="C56" s="40">
        <v>2556.1999999999998</v>
      </c>
      <c r="D56" s="40">
        <v>4047.1</v>
      </c>
      <c r="E56" s="40">
        <v>88.9</v>
      </c>
      <c r="F56" s="40">
        <v>3483.9</v>
      </c>
      <c r="G56" s="40">
        <v>2135</v>
      </c>
      <c r="H56" s="41">
        <v>625.4</v>
      </c>
      <c r="I56" s="41">
        <v>68.099999999999994</v>
      </c>
      <c r="J56" s="41">
        <v>680.2</v>
      </c>
      <c r="K56" s="41"/>
      <c r="L56" s="41">
        <v>-24.8</v>
      </c>
      <c r="M56" s="40">
        <v>3208.3</v>
      </c>
      <c r="N56" s="41">
        <v>340.7</v>
      </c>
      <c r="O56" s="41">
        <v>-55.9</v>
      </c>
      <c r="P56" s="40">
        <v>2923.5</v>
      </c>
      <c r="Q56" s="41">
        <v>606.4</v>
      </c>
      <c r="R56" s="40">
        <v>2317.1</v>
      </c>
    </row>
    <row r="57" spans="1:18">
      <c r="A57" s="38" t="s">
        <v>83</v>
      </c>
      <c r="B57" s="40">
        <v>6406.5</v>
      </c>
      <c r="C57" s="40">
        <v>2474.5</v>
      </c>
      <c r="D57" s="40">
        <v>3868.1000000000004</v>
      </c>
      <c r="E57" s="40">
        <v>63.900000000000006</v>
      </c>
      <c r="F57" s="40">
        <v>3604.2999999999993</v>
      </c>
      <c r="G57" s="40">
        <v>2074.6000000000004</v>
      </c>
      <c r="H57" s="41">
        <v>633.09999999999991</v>
      </c>
      <c r="I57" s="41">
        <v>44.100000000000023</v>
      </c>
      <c r="J57" s="41">
        <v>821.5</v>
      </c>
      <c r="K57" s="41"/>
      <c r="L57" s="41">
        <v>31</v>
      </c>
      <c r="M57" s="40">
        <v>2802.2000000000007</v>
      </c>
      <c r="N57" s="41">
        <v>360.40000000000009</v>
      </c>
      <c r="O57" s="41">
        <v>-73</v>
      </c>
      <c r="P57" s="40">
        <v>2514.8000000000002</v>
      </c>
      <c r="Q57" s="41">
        <v>475.59999999999991</v>
      </c>
      <c r="R57" s="40">
        <v>2039.2000000000007</v>
      </c>
    </row>
    <row r="58" spans="1:18">
      <c r="A58" s="38" t="s">
        <v>87</v>
      </c>
      <c r="B58" s="40">
        <v>6169</v>
      </c>
      <c r="C58" s="40">
        <v>2355</v>
      </c>
      <c r="D58" s="40">
        <v>3723</v>
      </c>
      <c r="E58" s="40">
        <v>91</v>
      </c>
      <c r="F58" s="40">
        <v>3433</v>
      </c>
      <c r="G58" s="40">
        <v>2035</v>
      </c>
      <c r="H58" s="41">
        <v>627</v>
      </c>
      <c r="I58" s="41">
        <v>68</v>
      </c>
      <c r="J58" s="41">
        <v>721</v>
      </c>
      <c r="K58" s="41"/>
      <c r="L58" s="41">
        <v>-17</v>
      </c>
      <c r="M58" s="40">
        <v>2736</v>
      </c>
      <c r="N58" s="41">
        <v>372</v>
      </c>
      <c r="O58" s="41">
        <v>-45</v>
      </c>
      <c r="P58" s="40">
        <v>2409</v>
      </c>
      <c r="Q58" s="41">
        <v>479</v>
      </c>
      <c r="R58" s="40">
        <v>1929</v>
      </c>
    </row>
    <row r="59" spans="1:18">
      <c r="A59" s="38" t="s">
        <v>91</v>
      </c>
      <c r="B59" s="40">
        <v>6490</v>
      </c>
      <c r="C59" s="40">
        <v>2461</v>
      </c>
      <c r="D59" s="40">
        <v>3940</v>
      </c>
      <c r="E59" s="40">
        <v>89</v>
      </c>
      <c r="F59" s="40">
        <v>3570</v>
      </c>
      <c r="G59" s="40">
        <v>2074</v>
      </c>
      <c r="H59" s="41">
        <v>629</v>
      </c>
      <c r="I59" s="41">
        <v>69</v>
      </c>
      <c r="J59" s="41">
        <v>691</v>
      </c>
      <c r="K59" s="41"/>
      <c r="L59" s="41">
        <v>107</v>
      </c>
      <c r="M59" s="40">
        <v>2920</v>
      </c>
      <c r="N59" s="41">
        <v>373</v>
      </c>
      <c r="O59" s="41">
        <v>-9</v>
      </c>
      <c r="P59" s="40">
        <v>2555</v>
      </c>
      <c r="Q59" s="41">
        <v>533</v>
      </c>
      <c r="R59" s="40">
        <v>2022</v>
      </c>
    </row>
    <row r="60" spans="1:18">
      <c r="A60" s="38" t="s">
        <v>92</v>
      </c>
      <c r="B60" s="40">
        <v>6873</v>
      </c>
      <c r="C60" s="40">
        <v>2656</v>
      </c>
      <c r="D60" s="40">
        <v>4094</v>
      </c>
      <c r="E60" s="40">
        <v>124</v>
      </c>
      <c r="F60" s="40">
        <v>3685</v>
      </c>
      <c r="G60" s="40">
        <v>2248</v>
      </c>
      <c r="H60" s="41">
        <v>646</v>
      </c>
      <c r="I60" s="41">
        <v>104</v>
      </c>
      <c r="J60" s="41">
        <v>647</v>
      </c>
      <c r="K60" s="41"/>
      <c r="L60" s="41">
        <v>39</v>
      </c>
      <c r="M60" s="40">
        <v>3188</v>
      </c>
      <c r="N60" s="41">
        <v>381</v>
      </c>
      <c r="O60" s="41">
        <v>-36</v>
      </c>
      <c r="P60" s="40">
        <v>2843</v>
      </c>
      <c r="Q60" s="41">
        <v>588</v>
      </c>
      <c r="R60" s="40">
        <v>2255</v>
      </c>
    </row>
    <row r="61" spans="1:18">
      <c r="A61" s="38" t="s">
        <v>93</v>
      </c>
      <c r="B61" s="40">
        <v>6388</v>
      </c>
      <c r="C61" s="40">
        <v>2310</v>
      </c>
      <c r="D61" s="40">
        <v>3958</v>
      </c>
      <c r="E61" s="40">
        <v>119</v>
      </c>
      <c r="F61" s="40">
        <v>3520</v>
      </c>
      <c r="G61" s="40">
        <v>1977</v>
      </c>
      <c r="H61" s="41">
        <v>634</v>
      </c>
      <c r="I61" s="41">
        <v>98</v>
      </c>
      <c r="J61" s="41">
        <v>800</v>
      </c>
      <c r="K61" s="41"/>
      <c r="L61" s="41">
        <v>10</v>
      </c>
      <c r="M61" s="40">
        <v>2868</v>
      </c>
      <c r="N61" s="41">
        <v>380</v>
      </c>
      <c r="O61" s="41">
        <v>-49</v>
      </c>
      <c r="P61" s="40">
        <v>2538</v>
      </c>
      <c r="Q61" s="41">
        <v>521</v>
      </c>
      <c r="R61" s="40">
        <v>2017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209FA-2F28-4828-996D-DD5AFB67CEDB}">
  <dimension ref="A1:AQ83"/>
  <sheetViews>
    <sheetView workbookViewId="0">
      <pane xSplit="3" ySplit="3" topLeftCell="T4" activePane="bottomRight" state="frozen"/>
      <selection pane="topRight" activeCell="D1" sqref="D1"/>
      <selection pane="bottomLeft" activeCell="A4" sqref="A4"/>
      <selection pane="bottomRight" activeCell="C16" sqref="C16:C77"/>
    </sheetView>
  </sheetViews>
  <sheetFormatPr defaultRowHeight="14"/>
  <cols>
    <col min="1" max="1" width="8.6640625" style="42"/>
    <col min="2" max="2" width="7.58203125" style="42" bestFit="1" customWidth="1"/>
    <col min="3" max="3" width="8.58203125" style="42" bestFit="1" customWidth="1"/>
    <col min="4" max="5" width="8.75" style="42" bestFit="1" customWidth="1"/>
    <col min="6" max="7" width="11.33203125" style="42" bestFit="1" customWidth="1"/>
    <col min="8" max="8" width="8.75" style="42" bestFit="1" customWidth="1"/>
    <col min="9" max="9" width="16" style="42" customWidth="1"/>
    <col min="10" max="10" width="8.33203125" style="42" bestFit="1" customWidth="1"/>
    <col min="11" max="11" width="8.83203125" style="42" bestFit="1" customWidth="1"/>
    <col min="12" max="12" width="11.4140625" style="42" bestFit="1" customWidth="1"/>
    <col min="13" max="13" width="8.75" style="42" bestFit="1" customWidth="1"/>
    <col min="14" max="14" width="11.58203125" style="42" bestFit="1" customWidth="1"/>
    <col min="15" max="16" width="8.75" style="42" bestFit="1" customWidth="1"/>
    <col min="17" max="17" width="11.33203125" style="42" bestFit="1" customWidth="1"/>
    <col min="18" max="21" width="8.75" style="42" bestFit="1" customWidth="1"/>
    <col min="22" max="22" width="11.33203125" style="42" bestFit="1" customWidth="1"/>
    <col min="23" max="23" width="8.75" style="42" bestFit="1" customWidth="1"/>
    <col min="24" max="24" width="10.6640625" style="42" bestFit="1" customWidth="1"/>
    <col min="25" max="28" width="8.75" style="42" bestFit="1" customWidth="1"/>
    <col min="29" max="29" width="11.33203125" style="42" bestFit="1" customWidth="1"/>
    <col min="30" max="32" width="8.75" style="42" bestFit="1" customWidth="1"/>
    <col min="33" max="33" width="12.4140625" style="42" bestFit="1" customWidth="1"/>
    <col min="34" max="36" width="8.75" style="42" bestFit="1" customWidth="1"/>
    <col min="37" max="37" width="11.33203125" style="42" bestFit="1" customWidth="1"/>
    <col min="38" max="38" width="8.75" style="42" bestFit="1" customWidth="1"/>
    <col min="39" max="16384" width="8.6640625" style="42"/>
  </cols>
  <sheetData>
    <row r="1" spans="1:43">
      <c r="D1" s="43"/>
      <c r="I1" s="43"/>
      <c r="N1" s="43" t="s">
        <v>162</v>
      </c>
      <c r="S1" s="44" t="s">
        <v>162</v>
      </c>
      <c r="X1" s="44" t="s">
        <v>162</v>
      </c>
      <c r="Y1" s="44" t="s">
        <v>167</v>
      </c>
      <c r="Z1" s="44"/>
      <c r="AE1" s="44" t="s">
        <v>162</v>
      </c>
      <c r="AF1" s="44" t="s">
        <v>167</v>
      </c>
      <c r="AG1" s="44" t="s">
        <v>169</v>
      </c>
      <c r="AH1" s="44"/>
    </row>
    <row r="2" spans="1:43">
      <c r="D2" s="43"/>
      <c r="I2" s="43"/>
      <c r="N2" s="43">
        <v>0</v>
      </c>
      <c r="S2" s="44">
        <v>0.59751445375345369</v>
      </c>
      <c r="X2" s="44">
        <v>0.59750120212243318</v>
      </c>
      <c r="Y2" s="44">
        <v>0</v>
      </c>
      <c r="Z2" s="44"/>
      <c r="AE2" s="44">
        <v>0.59871825572030102</v>
      </c>
      <c r="AF2" s="44">
        <v>0</v>
      </c>
      <c r="AG2" s="44">
        <v>0.48727397216079538</v>
      </c>
      <c r="AH2" s="44"/>
    </row>
    <row r="3" spans="1:43" s="53" customFormat="1" ht="28">
      <c r="B3" s="54" t="s">
        <v>153</v>
      </c>
      <c r="C3" s="54" t="s">
        <v>154</v>
      </c>
      <c r="D3" s="55" t="s">
        <v>160</v>
      </c>
      <c r="E3" s="54" t="s">
        <v>155</v>
      </c>
      <c r="F3" s="54" t="s">
        <v>156</v>
      </c>
      <c r="G3" s="54" t="s">
        <v>157</v>
      </c>
      <c r="H3" s="54" t="s">
        <v>158</v>
      </c>
      <c r="I3" s="55" t="s">
        <v>170</v>
      </c>
      <c r="J3" s="54" t="s">
        <v>155</v>
      </c>
      <c r="K3" s="54" t="s">
        <v>156</v>
      </c>
      <c r="L3" s="54" t="s">
        <v>157</v>
      </c>
      <c r="M3" s="54" t="s">
        <v>158</v>
      </c>
      <c r="N3" s="55" t="s">
        <v>171</v>
      </c>
      <c r="O3" s="54" t="s">
        <v>155</v>
      </c>
      <c r="P3" s="54" t="s">
        <v>156</v>
      </c>
      <c r="Q3" s="54" t="s">
        <v>157</v>
      </c>
      <c r="R3" s="54" t="s">
        <v>158</v>
      </c>
      <c r="S3" s="56" t="s">
        <v>176</v>
      </c>
      <c r="T3" s="54" t="s">
        <v>155</v>
      </c>
      <c r="U3" s="54" t="s">
        <v>156</v>
      </c>
      <c r="V3" s="54" t="s">
        <v>157</v>
      </c>
      <c r="W3" s="54" t="s">
        <v>158</v>
      </c>
      <c r="X3" s="56" t="s">
        <v>164</v>
      </c>
      <c r="Y3" s="56" t="s">
        <v>165</v>
      </c>
      <c r="Z3" s="56" t="s">
        <v>166</v>
      </c>
      <c r="AA3" s="54" t="s">
        <v>155</v>
      </c>
      <c r="AB3" s="54" t="s">
        <v>156</v>
      </c>
      <c r="AC3" s="54" t="s">
        <v>157</v>
      </c>
      <c r="AD3" s="54" t="s">
        <v>158</v>
      </c>
      <c r="AE3" s="56" t="s">
        <v>164</v>
      </c>
      <c r="AF3" s="56" t="s">
        <v>165</v>
      </c>
      <c r="AG3" s="56" t="s">
        <v>168</v>
      </c>
      <c r="AH3" s="56" t="s">
        <v>172</v>
      </c>
      <c r="AI3" s="54" t="s">
        <v>155</v>
      </c>
      <c r="AJ3" s="54" t="s">
        <v>156</v>
      </c>
      <c r="AK3" s="54" t="s">
        <v>157</v>
      </c>
      <c r="AL3" s="54" t="s">
        <v>158</v>
      </c>
      <c r="AM3" s="66" t="s">
        <v>173</v>
      </c>
      <c r="AN3" s="54" t="s">
        <v>155</v>
      </c>
      <c r="AO3" s="54" t="s">
        <v>156</v>
      </c>
      <c r="AP3" s="54" t="s">
        <v>157</v>
      </c>
      <c r="AQ3" s="54" t="s">
        <v>158</v>
      </c>
    </row>
    <row r="4" spans="1:43">
      <c r="B4" s="42" t="s">
        <v>141</v>
      </c>
      <c r="C4" s="60">
        <v>5292.7</v>
      </c>
      <c r="D4" s="43"/>
      <c r="I4" s="43"/>
      <c r="N4" s="43"/>
      <c r="S4" s="44"/>
      <c r="X4" s="44"/>
      <c r="Y4" s="44"/>
      <c r="Z4" s="44"/>
      <c r="AM4" s="67"/>
    </row>
    <row r="5" spans="1:43">
      <c r="B5" s="42" t="s">
        <v>143</v>
      </c>
      <c r="C5" s="60">
        <v>5839.4</v>
      </c>
      <c r="D5" s="43"/>
      <c r="I5" s="43"/>
      <c r="N5" s="43"/>
      <c r="S5" s="44"/>
      <c r="X5" s="44"/>
      <c r="Y5" s="44"/>
      <c r="Z5" s="44"/>
      <c r="AM5" s="67"/>
    </row>
    <row r="6" spans="1:43">
      <c r="B6" s="42" t="s">
        <v>145</v>
      </c>
      <c r="C6" s="60">
        <v>5900.9</v>
      </c>
      <c r="D6" s="43"/>
      <c r="I6" s="43"/>
      <c r="N6" s="43"/>
      <c r="S6" s="44"/>
      <c r="X6" s="44"/>
      <c r="Y6" s="44"/>
      <c r="Z6" s="44"/>
      <c r="AM6" s="67"/>
    </row>
    <row r="7" spans="1:43">
      <c r="B7" s="42" t="s">
        <v>148</v>
      </c>
      <c r="C7" s="60">
        <v>5753.5999999999985</v>
      </c>
      <c r="D7" s="43"/>
      <c r="I7" s="43"/>
      <c r="N7" s="43"/>
      <c r="S7" s="44"/>
      <c r="X7" s="44"/>
      <c r="Y7" s="44"/>
      <c r="Z7" s="44"/>
      <c r="AM7" s="67"/>
    </row>
    <row r="8" spans="1:43">
      <c r="B8" s="42" t="s">
        <v>142</v>
      </c>
      <c r="C8" s="60">
        <v>5614.8</v>
      </c>
      <c r="D8" s="43"/>
      <c r="I8" s="43"/>
      <c r="N8" s="43"/>
      <c r="S8" s="44"/>
      <c r="X8" s="44"/>
      <c r="Y8" s="44"/>
      <c r="Z8" s="44"/>
      <c r="AM8" s="67"/>
    </row>
    <row r="9" spans="1:43">
      <c r="B9" s="42" t="s">
        <v>144</v>
      </c>
      <c r="C9" s="60">
        <v>6075.3</v>
      </c>
      <c r="D9" s="43"/>
      <c r="I9" s="43"/>
      <c r="N9" s="43"/>
      <c r="S9" s="44"/>
      <c r="X9" s="44"/>
      <c r="Y9" s="44"/>
      <c r="Z9" s="44"/>
      <c r="AM9" s="67"/>
    </row>
    <row r="10" spans="1:43">
      <c r="B10" s="42" t="s">
        <v>146</v>
      </c>
      <c r="C10" s="60">
        <v>6267.3</v>
      </c>
      <c r="D10" s="43"/>
      <c r="I10" s="43"/>
      <c r="N10" s="43"/>
      <c r="S10" s="44"/>
      <c r="X10" s="44"/>
      <c r="Y10" s="44"/>
      <c r="Z10" s="44"/>
      <c r="AM10" s="67"/>
    </row>
    <row r="11" spans="1:43">
      <c r="B11" s="42" t="s">
        <v>147</v>
      </c>
      <c r="C11" s="60">
        <v>5565</v>
      </c>
      <c r="D11" s="43"/>
      <c r="I11" s="43"/>
      <c r="N11" s="43"/>
      <c r="S11" s="44"/>
      <c r="X11" s="44"/>
      <c r="Y11" s="44"/>
      <c r="Z11" s="44"/>
      <c r="AM11" s="67"/>
    </row>
    <row r="12" spans="1:43">
      <c r="B12" s="42" t="s">
        <v>149</v>
      </c>
      <c r="C12" s="60">
        <v>5077.3999999999996</v>
      </c>
      <c r="D12" s="43"/>
      <c r="I12" s="43"/>
      <c r="N12" s="43"/>
      <c r="S12" s="44"/>
      <c r="X12" s="44"/>
      <c r="Y12" s="44"/>
      <c r="Z12" s="44"/>
      <c r="AE12" s="60"/>
      <c r="AF12" s="60"/>
      <c r="AG12" s="60">
        <f>C12/$AE$15</f>
        <v>0.89293769537518619</v>
      </c>
      <c r="AH12" s="60"/>
      <c r="AI12" s="60"/>
      <c r="AJ12" s="60"/>
      <c r="AK12" s="60"/>
      <c r="AM12" s="67"/>
    </row>
    <row r="13" spans="1:43">
      <c r="B13" s="42" t="s">
        <v>150</v>
      </c>
      <c r="C13" s="60">
        <v>5647.2</v>
      </c>
      <c r="D13" s="43"/>
      <c r="I13" s="43"/>
      <c r="N13" s="43"/>
      <c r="S13" s="44"/>
      <c r="X13" s="44"/>
      <c r="Y13" s="44"/>
      <c r="Z13" s="44"/>
      <c r="AE13" s="60"/>
      <c r="AF13" s="60"/>
      <c r="AG13" s="60">
        <f>C13/$AE$15</f>
        <v>0.99314565591104731</v>
      </c>
      <c r="AH13" s="60"/>
      <c r="AI13" s="60"/>
      <c r="AJ13" s="60"/>
      <c r="AK13" s="60"/>
      <c r="AM13" s="67"/>
    </row>
    <row r="14" spans="1:43">
      <c r="B14" s="42" t="s">
        <v>151</v>
      </c>
      <c r="C14" s="60">
        <v>6046.7</v>
      </c>
      <c r="D14" s="43"/>
      <c r="I14" s="43"/>
      <c r="N14" s="43"/>
      <c r="S14" s="44"/>
      <c r="X14" s="44"/>
      <c r="Y14" s="44"/>
      <c r="Z14" s="44"/>
      <c r="AE14" s="60"/>
      <c r="AF14" s="60"/>
      <c r="AG14" s="60">
        <f>C14/$AE$15</f>
        <v>1.0634037819799778</v>
      </c>
      <c r="AH14" s="60"/>
      <c r="AI14" s="60"/>
      <c r="AJ14" s="60"/>
      <c r="AK14" s="60"/>
      <c r="AM14" s="67"/>
    </row>
    <row r="15" spans="1:43">
      <c r="B15" s="42" t="s">
        <v>152</v>
      </c>
      <c r="C15" s="60">
        <v>5973.4000000000015</v>
      </c>
      <c r="D15" s="58"/>
      <c r="E15" s="57"/>
      <c r="F15" s="57"/>
      <c r="G15" s="57"/>
      <c r="I15" s="43"/>
      <c r="N15" s="43"/>
      <c r="S15" s="44"/>
      <c r="X15" s="61">
        <f>C15</f>
        <v>5973.4000000000015</v>
      </c>
      <c r="Y15" s="61">
        <f>(C67-C15)/COUNT(C15:C67)</f>
        <v>-0.12264150943396226</v>
      </c>
      <c r="Z15" s="61"/>
      <c r="AA15" s="60"/>
      <c r="AB15" s="60"/>
      <c r="AC15" s="60"/>
      <c r="AE15" s="61">
        <f>AVERAGE(C12:C15)</f>
        <v>5686.1750000000002</v>
      </c>
      <c r="AF15" s="61">
        <v>0</v>
      </c>
      <c r="AG15" s="61">
        <f>C15/$AE$15</f>
        <v>1.0505128667337889</v>
      </c>
      <c r="AH15" s="61"/>
      <c r="AI15" s="60"/>
      <c r="AJ15" s="60"/>
      <c r="AK15" s="60"/>
      <c r="AM15" s="67"/>
    </row>
    <row r="16" spans="1:43">
      <c r="A16" s="52" t="s">
        <v>175</v>
      </c>
      <c r="B16" s="42" t="s">
        <v>95</v>
      </c>
      <c r="C16" s="60">
        <v>5610.1</v>
      </c>
      <c r="D16" s="65">
        <f>AVERAGE(C4,C8,C12)</f>
        <v>5328.3</v>
      </c>
      <c r="E16" s="60">
        <f>$C16-D16</f>
        <v>281.80000000000018</v>
      </c>
      <c r="F16" s="60">
        <f>ABS(E16)</f>
        <v>281.80000000000018</v>
      </c>
      <c r="G16" s="60">
        <f>E16^2</f>
        <v>79411.240000000107</v>
      </c>
      <c r="H16" s="46">
        <f>F16/$C16</f>
        <v>5.0230833674979082E-2</v>
      </c>
      <c r="I16" s="65">
        <f>AVERAGE(C12:C15)</f>
        <v>5686.1750000000002</v>
      </c>
      <c r="J16" s="60">
        <f>$C16-I16</f>
        <v>-76.074999999999818</v>
      </c>
      <c r="K16" s="60">
        <f>ABS(J16)</f>
        <v>76.074999999999818</v>
      </c>
      <c r="L16" s="60">
        <f>J16^2</f>
        <v>5787.4056249999721</v>
      </c>
      <c r="M16" s="46">
        <f>K16/$C16</f>
        <v>1.3560364342881555E-2</v>
      </c>
      <c r="N16" s="65">
        <f t="shared" ref="N16:N47" si="0">D16*$N$2+I16*(1-$N$2)</f>
        <v>5686.1750000000002</v>
      </c>
      <c r="O16" s="60">
        <f>$C16-N16</f>
        <v>-76.074999999999818</v>
      </c>
      <c r="P16" s="60">
        <f>ABS(O16)</f>
        <v>76.074999999999818</v>
      </c>
      <c r="Q16" s="60">
        <f>O16^2</f>
        <v>5787.4056249999721</v>
      </c>
      <c r="R16" s="46">
        <f>P16/$C16</f>
        <v>1.3560364342881555E-2</v>
      </c>
      <c r="S16" s="61">
        <f>C15</f>
        <v>5973.4000000000015</v>
      </c>
      <c r="T16" s="60">
        <f>$C16-S16</f>
        <v>-363.30000000000109</v>
      </c>
      <c r="U16" s="60">
        <f>ABS(T16)</f>
        <v>363.30000000000109</v>
      </c>
      <c r="V16" s="60">
        <f>T16^2</f>
        <v>131986.8900000008</v>
      </c>
      <c r="W16" s="46">
        <f>U16/$C16</f>
        <v>6.4758203953583907E-2</v>
      </c>
      <c r="X16" s="61">
        <f>C16*$X$2+(1-$X$2)*(X15+Y15)</f>
        <v>5756.2784502088034</v>
      </c>
      <c r="Y16" s="61">
        <f>$Y$2*(X16-X15)+(1-$Y$2)*Y15</f>
        <v>-0.12264150943396226</v>
      </c>
      <c r="Z16" s="61">
        <f>X15+Y15</f>
        <v>5973.2773584905672</v>
      </c>
      <c r="AA16" s="60">
        <f>$C16-Z16</f>
        <v>-363.1773584905668</v>
      </c>
      <c r="AB16" s="60">
        <f>ABS(AA16)</f>
        <v>363.1773584905668</v>
      </c>
      <c r="AC16" s="60">
        <f>AA16^2</f>
        <v>131897.79372018567</v>
      </c>
      <c r="AD16" s="46">
        <f>AB16/$C16</f>
        <v>6.4736343111632011E-2</v>
      </c>
      <c r="AE16" s="61">
        <f>$AE$2*(C16/AG12)+(1-$AE$2)*(AE15+AF15)</f>
        <v>6043.3524564721411</v>
      </c>
      <c r="AF16" s="61">
        <f>$AF$2*(AE16-AE15)+(1-$AF$2)*AF15</f>
        <v>0</v>
      </c>
      <c r="AG16" s="61">
        <f>$AG$2*(C16/AE16)+(1-$AG$2)*AG12</f>
        <v>0.91017333439905079</v>
      </c>
      <c r="AH16" s="61">
        <f>(AE15+AF15)*AG12</f>
        <v>5077.3999999999996</v>
      </c>
      <c r="AI16" s="60">
        <f>$C16-AH16</f>
        <v>532.70000000000073</v>
      </c>
      <c r="AJ16" s="60">
        <f>ABS(AI16)</f>
        <v>532.70000000000073</v>
      </c>
      <c r="AK16" s="60">
        <f>AI16^2</f>
        <v>283769.29000000079</v>
      </c>
      <c r="AL16" s="46">
        <f>AJ16/$C16</f>
        <v>9.4953744140033283E-2</v>
      </c>
      <c r="AM16" s="68">
        <v>5894.60768804696</v>
      </c>
      <c r="AN16" s="60">
        <f>$C16-AM16</f>
        <v>-284.50768804695963</v>
      </c>
      <c r="AO16" s="60">
        <f>ABS(AN16)</f>
        <v>284.50768804695963</v>
      </c>
      <c r="AP16" s="60">
        <f>AN16^2</f>
        <v>80944.6245578261</v>
      </c>
      <c r="AQ16" s="46">
        <f>AO16/$C16</f>
        <v>5.0713478912489902E-2</v>
      </c>
    </row>
    <row r="17" spans="2:43">
      <c r="B17" s="42" t="s">
        <v>96</v>
      </c>
      <c r="C17" s="60">
        <v>5945.5</v>
      </c>
      <c r="D17" s="65">
        <f t="shared" ref="D17:D59" si="1">AVERAGE(C5,C9,C13)</f>
        <v>5853.9666666666672</v>
      </c>
      <c r="E17" s="60">
        <f t="shared" ref="E17:E67" si="2">$C17-D17</f>
        <v>91.533333333332848</v>
      </c>
      <c r="F17" s="60">
        <f t="shared" ref="F17:F77" si="3">ABS(E17)</f>
        <v>91.533333333332848</v>
      </c>
      <c r="G17" s="60">
        <f t="shared" ref="G17:G77" si="4">E17^2</f>
        <v>8378.351111111022</v>
      </c>
      <c r="H17" s="46">
        <f t="shared" ref="H17:H67" si="5">F17/$C17</f>
        <v>1.5395397079023269E-2</v>
      </c>
      <c r="I17" s="65">
        <f t="shared" ref="I17:I67" si="6">AVERAGE(C13:C16)</f>
        <v>5819.35</v>
      </c>
      <c r="J17" s="60">
        <f t="shared" ref="J17:J67" si="7">$C17-I17</f>
        <v>126.14999999999964</v>
      </c>
      <c r="K17" s="60">
        <f t="shared" ref="K17:K67" si="8">ABS(J17)</f>
        <v>126.14999999999964</v>
      </c>
      <c r="L17" s="60">
        <f t="shared" ref="L17:L67" si="9">J17^2</f>
        <v>15913.822499999907</v>
      </c>
      <c r="M17" s="46">
        <f t="shared" ref="M17:M67" si="10">K17/$C17</f>
        <v>2.1217727693213295E-2</v>
      </c>
      <c r="N17" s="65">
        <f t="shared" si="0"/>
        <v>5819.35</v>
      </c>
      <c r="O17" s="60">
        <f t="shared" ref="O17:O67" si="11">$C17-N17</f>
        <v>126.14999999999964</v>
      </c>
      <c r="P17" s="60">
        <f t="shared" ref="P17:P67" si="12">ABS(O17)</f>
        <v>126.14999999999964</v>
      </c>
      <c r="Q17" s="60">
        <f t="shared" ref="Q17:Q67" si="13">O17^2</f>
        <v>15913.822499999907</v>
      </c>
      <c r="R17" s="46">
        <f t="shared" ref="R17:R67" si="14">P17/$C17</f>
        <v>2.1217727693213295E-2</v>
      </c>
      <c r="S17" s="61">
        <f>C16*$S$2+S16*(1-$S$2)</f>
        <v>5756.3229989513711</v>
      </c>
      <c r="T17" s="60">
        <f t="shared" ref="T17:T67" si="15">$C17-S17</f>
        <v>189.17700104862888</v>
      </c>
      <c r="U17" s="60">
        <f t="shared" ref="U17:U67" si="16">ABS(T17)</f>
        <v>189.17700104862888</v>
      </c>
      <c r="V17" s="60">
        <f t="shared" ref="V17:V67" si="17">T17^2</f>
        <v>35787.937725752934</v>
      </c>
      <c r="W17" s="46">
        <f t="shared" ref="W17:W67" si="18">U17/$C17</f>
        <v>3.1818518383420889E-2</v>
      </c>
      <c r="X17" s="61">
        <f t="shared" ref="X17:X67" si="19">C17*$X$2+(1-$X$2)*(X16+Y16)</f>
        <v>5869.2891906163959</v>
      </c>
      <c r="Y17" s="61">
        <f t="shared" ref="Y17:Y67" si="20">$Y$2*(X17-X16)+(1-$Y$2)*Y16</f>
        <v>-0.12264150943396226</v>
      </c>
      <c r="Z17" s="61">
        <f t="shared" ref="Z17:Z67" si="21">X16+Y16</f>
        <v>5756.1558086993691</v>
      </c>
      <c r="AA17" s="60">
        <f t="shared" ref="AA17:AA67" si="22">$C17-Z17</f>
        <v>189.34419130063088</v>
      </c>
      <c r="AB17" s="60">
        <f t="shared" ref="AB17:AB67" si="23">ABS(AA17)</f>
        <v>189.34419130063088</v>
      </c>
      <c r="AC17" s="60">
        <f t="shared" ref="AC17:AC67" si="24">AA17^2</f>
        <v>35851.222779289907</v>
      </c>
      <c r="AD17" s="46">
        <f t="shared" ref="AD17:AD67" si="25">AB17/$C17</f>
        <v>3.1846638853020082E-2</v>
      </c>
      <c r="AE17" s="61">
        <f t="shared" ref="AE17:AE67" si="26">$AE$2*(C17/AG13)+(1-$AE$2)*(AE16+AF16)</f>
        <v>6009.334067009273</v>
      </c>
      <c r="AF17" s="61">
        <f t="shared" ref="AF17:AF67" si="27">$AF$2*(AE17-AE16)+(1-$AF$2)*AF16</f>
        <v>0</v>
      </c>
      <c r="AG17" s="61">
        <f t="shared" ref="AG17:AG67" si="28">$AG$2*(C17/AE17)+(1-$AG$2)*AG13</f>
        <v>0.99130953843331993</v>
      </c>
      <c r="AH17" s="61">
        <f t="shared" ref="AH17:AH67" si="29">(AE16+AF16)*AG13</f>
        <v>6001.9292392846637</v>
      </c>
      <c r="AI17" s="60">
        <f t="shared" ref="AI17:AI67" si="30">$C17-AH17</f>
        <v>-56.429239284663709</v>
      </c>
      <c r="AJ17" s="60">
        <f t="shared" ref="AJ17:AJ67" si="31">ABS(AI17)</f>
        <v>56.429239284663709</v>
      </c>
      <c r="AK17" s="60">
        <f t="shared" ref="AK17:AK67" si="32">AI17^2</f>
        <v>3184.2590462458338</v>
      </c>
      <c r="AL17" s="46">
        <f t="shared" ref="AL17:AL67" si="33">AJ17/$C17</f>
        <v>9.4910838928035837E-3</v>
      </c>
      <c r="AM17" s="68">
        <v>5918.3522287321603</v>
      </c>
      <c r="AN17" s="60">
        <f t="shared" ref="AN17:AN67" si="34">$C17-AM17</f>
        <v>27.147771267839744</v>
      </c>
      <c r="AO17" s="60">
        <f t="shared" ref="AO17:AO67" si="35">ABS(AN17)</f>
        <v>27.147771267839744</v>
      </c>
      <c r="AP17" s="60">
        <f t="shared" ref="AP17:AP67" si="36">AN17^2</f>
        <v>737.00148481094516</v>
      </c>
      <c r="AQ17" s="46">
        <f t="shared" ref="AQ17:AQ67" si="37">AO17/$C17</f>
        <v>4.5661039892086024E-3</v>
      </c>
    </row>
    <row r="18" spans="2:43">
      <c r="B18" s="42" t="s">
        <v>97</v>
      </c>
      <c r="C18" s="60">
        <v>6304.9</v>
      </c>
      <c r="D18" s="65">
        <f t="shared" si="1"/>
        <v>6071.6333333333341</v>
      </c>
      <c r="E18" s="60">
        <f t="shared" si="2"/>
        <v>233.26666666666551</v>
      </c>
      <c r="F18" s="60">
        <f t="shared" si="3"/>
        <v>233.26666666666551</v>
      </c>
      <c r="G18" s="60">
        <f t="shared" si="4"/>
        <v>54413.33777777724</v>
      </c>
      <c r="H18" s="46">
        <f t="shared" si="5"/>
        <v>3.6997679053857403E-2</v>
      </c>
      <c r="I18" s="65">
        <f t="shared" si="6"/>
        <v>5893.9250000000011</v>
      </c>
      <c r="J18" s="60">
        <f t="shared" si="7"/>
        <v>410.97499999999854</v>
      </c>
      <c r="K18" s="60">
        <f t="shared" si="8"/>
        <v>410.97499999999854</v>
      </c>
      <c r="L18" s="60">
        <f t="shared" si="9"/>
        <v>168900.4506249988</v>
      </c>
      <c r="M18" s="46">
        <f t="shared" si="10"/>
        <v>6.5183428761756507E-2</v>
      </c>
      <c r="N18" s="65">
        <f t="shared" si="0"/>
        <v>5893.9250000000011</v>
      </c>
      <c r="O18" s="60">
        <f t="shared" si="11"/>
        <v>410.97499999999854</v>
      </c>
      <c r="P18" s="60">
        <f t="shared" si="12"/>
        <v>410.97499999999854</v>
      </c>
      <c r="Q18" s="60">
        <f t="shared" si="13"/>
        <v>168900.4506249988</v>
      </c>
      <c r="R18" s="46">
        <f t="shared" si="14"/>
        <v>6.5183428761756507E-2</v>
      </c>
      <c r="S18" s="61">
        <f t="shared" ref="S18:S67" si="38">C17*$S$2+S17*(1-$S$2)</f>
        <v>5869.3589913956594</v>
      </c>
      <c r="T18" s="60">
        <f t="shared" si="15"/>
        <v>435.54100860434028</v>
      </c>
      <c r="U18" s="60">
        <f t="shared" si="16"/>
        <v>435.54100860434028</v>
      </c>
      <c r="V18" s="60">
        <f t="shared" si="17"/>
        <v>189695.970176086</v>
      </c>
      <c r="W18" s="46">
        <f t="shared" si="18"/>
        <v>6.9079764723364412E-2</v>
      </c>
      <c r="X18" s="61">
        <f t="shared" si="19"/>
        <v>6129.5178098205088</v>
      </c>
      <c r="Y18" s="61">
        <f t="shared" si="20"/>
        <v>-0.12264150943396226</v>
      </c>
      <c r="Z18" s="61">
        <f t="shared" si="21"/>
        <v>5869.1665491069616</v>
      </c>
      <c r="AA18" s="60">
        <f t="shared" si="22"/>
        <v>435.73345089303803</v>
      </c>
      <c r="AB18" s="60">
        <f t="shared" si="23"/>
        <v>435.73345089303803</v>
      </c>
      <c r="AC18" s="60">
        <f t="shared" si="24"/>
        <v>189863.64022715559</v>
      </c>
      <c r="AD18" s="46">
        <f t="shared" si="25"/>
        <v>6.9110287378552876E-2</v>
      </c>
      <c r="AE18" s="61">
        <f t="shared" si="26"/>
        <v>5961.2247579497998</v>
      </c>
      <c r="AF18" s="61">
        <f t="shared" si="27"/>
        <v>0</v>
      </c>
      <c r="AG18" s="61">
        <f t="shared" si="28"/>
        <v>1.0606009830706444</v>
      </c>
      <c r="AH18" s="61">
        <f t="shared" si="29"/>
        <v>6390.3485740387823</v>
      </c>
      <c r="AI18" s="60">
        <f t="shared" si="30"/>
        <v>-85.448574038782681</v>
      </c>
      <c r="AJ18" s="60">
        <f t="shared" si="31"/>
        <v>85.448574038782681</v>
      </c>
      <c r="AK18" s="60">
        <f t="shared" si="32"/>
        <v>7301.4588052613253</v>
      </c>
      <c r="AL18" s="46">
        <f t="shared" si="33"/>
        <v>1.3552724712332105E-2</v>
      </c>
      <c r="AM18" s="68">
        <v>6330.2626472682196</v>
      </c>
      <c r="AN18" s="60">
        <f t="shared" si="34"/>
        <v>-25.362647268219916</v>
      </c>
      <c r="AO18" s="60">
        <f t="shared" si="35"/>
        <v>25.362647268219916</v>
      </c>
      <c r="AP18" s="60">
        <f t="shared" si="36"/>
        <v>643.26387645214322</v>
      </c>
      <c r="AQ18" s="46">
        <f t="shared" si="37"/>
        <v>4.0226882691588948E-3</v>
      </c>
    </row>
    <row r="19" spans="2:43">
      <c r="B19" s="42" t="s">
        <v>98</v>
      </c>
      <c r="C19" s="60">
        <v>6214.0999999999985</v>
      </c>
      <c r="D19" s="65">
        <f t="shared" si="1"/>
        <v>5764</v>
      </c>
      <c r="E19" s="60">
        <f t="shared" si="2"/>
        <v>450.09999999999854</v>
      </c>
      <c r="F19" s="60">
        <f t="shared" si="3"/>
        <v>450.09999999999854</v>
      </c>
      <c r="G19" s="60">
        <f t="shared" si="4"/>
        <v>202590.0099999987</v>
      </c>
      <c r="H19" s="46">
        <f t="shared" si="5"/>
        <v>7.2432049693438902E-2</v>
      </c>
      <c r="I19" s="65">
        <f t="shared" si="6"/>
        <v>5958.4750000000004</v>
      </c>
      <c r="J19" s="60">
        <f t="shared" si="7"/>
        <v>255.62499999999818</v>
      </c>
      <c r="K19" s="60">
        <f t="shared" si="8"/>
        <v>255.62499999999818</v>
      </c>
      <c r="L19" s="60">
        <f t="shared" si="9"/>
        <v>65344.140624999069</v>
      </c>
      <c r="M19" s="46">
        <f t="shared" si="10"/>
        <v>4.1136286831560204E-2</v>
      </c>
      <c r="N19" s="65">
        <f t="shared" si="0"/>
        <v>5958.4750000000004</v>
      </c>
      <c r="O19" s="60">
        <f t="shared" si="11"/>
        <v>255.62499999999818</v>
      </c>
      <c r="P19" s="60">
        <f t="shared" si="12"/>
        <v>255.62499999999818</v>
      </c>
      <c r="Q19" s="60">
        <f t="shared" si="13"/>
        <v>65344.140624999069</v>
      </c>
      <c r="R19" s="46">
        <f t="shared" si="14"/>
        <v>4.1136286831560204E-2</v>
      </c>
      <c r="S19" s="61">
        <f t="shared" si="38"/>
        <v>6129.6010392391099</v>
      </c>
      <c r="T19" s="60">
        <f t="shared" si="15"/>
        <v>84.498960760888622</v>
      </c>
      <c r="U19" s="60">
        <f t="shared" si="16"/>
        <v>84.498960760888622</v>
      </c>
      <c r="V19" s="60">
        <f t="shared" si="17"/>
        <v>7140.0743696701948</v>
      </c>
      <c r="W19" s="46">
        <f t="shared" si="18"/>
        <v>1.3597940290772379E-2</v>
      </c>
      <c r="X19" s="61">
        <f t="shared" si="19"/>
        <v>6180.0064070707849</v>
      </c>
      <c r="Y19" s="61">
        <f t="shared" si="20"/>
        <v>-0.12264150943396226</v>
      </c>
      <c r="Z19" s="61">
        <f t="shared" si="21"/>
        <v>6129.3951683110745</v>
      </c>
      <c r="AA19" s="60">
        <f t="shared" si="22"/>
        <v>84.70483168892406</v>
      </c>
      <c r="AB19" s="60">
        <f t="shared" si="23"/>
        <v>84.70483168892406</v>
      </c>
      <c r="AC19" s="60">
        <f t="shared" si="24"/>
        <v>7174.9085114489535</v>
      </c>
      <c r="AD19" s="46">
        <f t="shared" si="25"/>
        <v>1.3631069935939891E-2</v>
      </c>
      <c r="AE19" s="61">
        <f t="shared" si="26"/>
        <v>5933.729473351802</v>
      </c>
      <c r="AF19" s="61">
        <f t="shared" si="27"/>
        <v>0</v>
      </c>
      <c r="AG19" s="61">
        <f t="shared" si="28"/>
        <v>1.0489231052563319</v>
      </c>
      <c r="AH19" s="61">
        <f t="shared" si="29"/>
        <v>6262.3433097182806</v>
      </c>
      <c r="AI19" s="60">
        <f t="shared" si="30"/>
        <v>-48.243309718282035</v>
      </c>
      <c r="AJ19" s="60">
        <f t="shared" si="31"/>
        <v>48.243309718282035</v>
      </c>
      <c r="AK19" s="60">
        <f t="shared" si="32"/>
        <v>2327.4169325740859</v>
      </c>
      <c r="AL19" s="46">
        <f t="shared" si="33"/>
        <v>7.7635232323718713E-3</v>
      </c>
      <c r="AM19" s="68">
        <v>6237.8081502002497</v>
      </c>
      <c r="AN19" s="60">
        <f t="shared" si="34"/>
        <v>-23.708150200251112</v>
      </c>
      <c r="AO19" s="60">
        <f t="shared" si="35"/>
        <v>23.708150200251112</v>
      </c>
      <c r="AP19" s="60">
        <f t="shared" si="36"/>
        <v>562.07638591766681</v>
      </c>
      <c r="AQ19" s="46">
        <f t="shared" si="37"/>
        <v>3.8152186479540268E-3</v>
      </c>
    </row>
    <row r="20" spans="2:43">
      <c r="B20" s="42" t="s">
        <v>99</v>
      </c>
      <c r="C20" s="60">
        <v>6111.6</v>
      </c>
      <c r="D20" s="65">
        <f t="shared" si="1"/>
        <v>5434.1</v>
      </c>
      <c r="E20" s="60">
        <f t="shared" si="2"/>
        <v>677.5</v>
      </c>
      <c r="F20" s="60">
        <f t="shared" si="3"/>
        <v>677.5</v>
      </c>
      <c r="G20" s="60">
        <f t="shared" si="4"/>
        <v>459006.25</v>
      </c>
      <c r="H20" s="46">
        <f t="shared" si="5"/>
        <v>0.11085476798219777</v>
      </c>
      <c r="I20" s="65">
        <f t="shared" si="6"/>
        <v>6018.65</v>
      </c>
      <c r="J20" s="60">
        <f t="shared" si="7"/>
        <v>92.950000000000728</v>
      </c>
      <c r="K20" s="60">
        <f t="shared" si="8"/>
        <v>92.950000000000728</v>
      </c>
      <c r="L20" s="60">
        <f t="shared" si="9"/>
        <v>8639.7025000001358</v>
      </c>
      <c r="M20" s="46">
        <f t="shared" si="10"/>
        <v>1.5208783297336331E-2</v>
      </c>
      <c r="N20" s="65">
        <f t="shared" si="0"/>
        <v>6018.65</v>
      </c>
      <c r="O20" s="60">
        <f t="shared" si="11"/>
        <v>92.950000000000728</v>
      </c>
      <c r="P20" s="60">
        <f t="shared" si="12"/>
        <v>92.950000000000728</v>
      </c>
      <c r="Q20" s="60">
        <f t="shared" si="13"/>
        <v>8639.7025000001358</v>
      </c>
      <c r="R20" s="46">
        <f t="shared" si="14"/>
        <v>1.5208783297336331E-2</v>
      </c>
      <c r="S20" s="61">
        <f t="shared" si="38"/>
        <v>6180.0903896208865</v>
      </c>
      <c r="T20" s="60">
        <f t="shared" si="15"/>
        <v>-68.490389620886162</v>
      </c>
      <c r="U20" s="60">
        <f t="shared" si="16"/>
        <v>68.490389620886162</v>
      </c>
      <c r="V20" s="60">
        <f t="shared" si="17"/>
        <v>4690.9334704207913</v>
      </c>
      <c r="W20" s="46">
        <f t="shared" si="18"/>
        <v>1.1206621771857805E-2</v>
      </c>
      <c r="X20" s="61">
        <f t="shared" si="19"/>
        <v>6139.0841335529976</v>
      </c>
      <c r="Y20" s="61">
        <f t="shared" si="20"/>
        <v>-0.12264150943396226</v>
      </c>
      <c r="Z20" s="61">
        <f t="shared" si="21"/>
        <v>6179.8837655613506</v>
      </c>
      <c r="AA20" s="60">
        <f t="shared" si="22"/>
        <v>-68.283765561350265</v>
      </c>
      <c r="AB20" s="60">
        <f t="shared" si="23"/>
        <v>68.283765561350265</v>
      </c>
      <c r="AC20" s="60">
        <f t="shared" si="24"/>
        <v>4662.6726392374449</v>
      </c>
      <c r="AD20" s="46">
        <f t="shared" si="25"/>
        <v>1.1172813266795971E-2</v>
      </c>
      <c r="AE20" s="61">
        <f t="shared" si="26"/>
        <v>6401.3496687923325</v>
      </c>
      <c r="AF20" s="61">
        <f t="shared" si="27"/>
        <v>0</v>
      </c>
      <c r="AG20" s="61">
        <f t="shared" si="28"/>
        <v>0.93188763931853646</v>
      </c>
      <c r="AH20" s="61">
        <f t="shared" si="29"/>
        <v>5400.7223401825331</v>
      </c>
      <c r="AI20" s="60">
        <f t="shared" si="30"/>
        <v>710.87765981746725</v>
      </c>
      <c r="AJ20" s="60">
        <f t="shared" si="31"/>
        <v>710.87765981746725</v>
      </c>
      <c r="AK20" s="60">
        <f t="shared" si="32"/>
        <v>505347.04722755868</v>
      </c>
      <c r="AL20" s="46">
        <f t="shared" si="33"/>
        <v>0.11631612995246207</v>
      </c>
      <c r="AM20" s="68">
        <v>6017.5276754242304</v>
      </c>
      <c r="AN20" s="60">
        <f t="shared" si="34"/>
        <v>94.072324575769926</v>
      </c>
      <c r="AO20" s="60">
        <f t="shared" si="35"/>
        <v>94.072324575769926</v>
      </c>
      <c r="AP20" s="60">
        <f t="shared" si="36"/>
        <v>8849.602251089007</v>
      </c>
      <c r="AQ20" s="46">
        <f t="shared" si="37"/>
        <v>1.5392421718661221E-2</v>
      </c>
    </row>
    <row r="21" spans="2:43">
      <c r="B21" s="42" t="s">
        <v>100</v>
      </c>
      <c r="C21" s="60">
        <v>6905.4</v>
      </c>
      <c r="D21" s="65">
        <f t="shared" si="1"/>
        <v>5889.333333333333</v>
      </c>
      <c r="E21" s="60">
        <f t="shared" si="2"/>
        <v>1016.0666666666666</v>
      </c>
      <c r="F21" s="60">
        <f t="shared" si="3"/>
        <v>1016.0666666666666</v>
      </c>
      <c r="G21" s="60">
        <f t="shared" si="4"/>
        <v>1032391.471111111</v>
      </c>
      <c r="H21" s="46">
        <f t="shared" si="5"/>
        <v>0.14714088491132543</v>
      </c>
      <c r="I21" s="65">
        <f t="shared" si="6"/>
        <v>6144.0249999999996</v>
      </c>
      <c r="J21" s="60">
        <f t="shared" si="7"/>
        <v>761.375</v>
      </c>
      <c r="K21" s="60">
        <f t="shared" si="8"/>
        <v>761.375</v>
      </c>
      <c r="L21" s="60">
        <f t="shared" si="9"/>
        <v>579691.890625</v>
      </c>
      <c r="M21" s="46">
        <f t="shared" si="10"/>
        <v>0.11025791409621456</v>
      </c>
      <c r="N21" s="65">
        <f t="shared" si="0"/>
        <v>6144.0249999999996</v>
      </c>
      <c r="O21" s="60">
        <f t="shared" si="11"/>
        <v>761.375</v>
      </c>
      <c r="P21" s="60">
        <f t="shared" si="12"/>
        <v>761.375</v>
      </c>
      <c r="Q21" s="60">
        <f t="shared" si="13"/>
        <v>579691.890625</v>
      </c>
      <c r="R21" s="46">
        <f t="shared" si="14"/>
        <v>0.11025791409621456</v>
      </c>
      <c r="S21" s="61">
        <f t="shared" si="38"/>
        <v>6139.1663918792019</v>
      </c>
      <c r="T21" s="60">
        <f t="shared" si="15"/>
        <v>766.23360812079773</v>
      </c>
      <c r="U21" s="60">
        <f t="shared" si="16"/>
        <v>766.23360812079773</v>
      </c>
      <c r="V21" s="60">
        <f t="shared" si="17"/>
        <v>587113.94221381622</v>
      </c>
      <c r="W21" s="46">
        <f t="shared" si="18"/>
        <v>0.11096150956074924</v>
      </c>
      <c r="X21" s="61">
        <f t="shared" si="19"/>
        <v>6596.9094219004583</v>
      </c>
      <c r="Y21" s="61">
        <f t="shared" si="20"/>
        <v>-0.12264150943396226</v>
      </c>
      <c r="Z21" s="61">
        <f t="shared" si="21"/>
        <v>6138.9614920435633</v>
      </c>
      <c r="AA21" s="60">
        <f t="shared" si="22"/>
        <v>766.4385079564363</v>
      </c>
      <c r="AB21" s="60">
        <f t="shared" si="23"/>
        <v>766.4385079564363</v>
      </c>
      <c r="AC21" s="60">
        <f t="shared" si="24"/>
        <v>587427.98647848831</v>
      </c>
      <c r="AD21" s="46">
        <f t="shared" si="25"/>
        <v>0.11099118196721933</v>
      </c>
      <c r="AE21" s="61">
        <f t="shared" si="26"/>
        <v>6739.3785364236583</v>
      </c>
      <c r="AF21" s="61">
        <f t="shared" si="27"/>
        <v>0</v>
      </c>
      <c r="AG21" s="61">
        <f t="shared" si="28"/>
        <v>1.0075479423990363</v>
      </c>
      <c r="AH21" s="61">
        <f t="shared" si="29"/>
        <v>6345.7189855208126</v>
      </c>
      <c r="AI21" s="60">
        <f t="shared" si="30"/>
        <v>559.68101447918707</v>
      </c>
      <c r="AJ21" s="60">
        <f t="shared" si="31"/>
        <v>559.68101447918707</v>
      </c>
      <c r="AK21" s="60">
        <f t="shared" si="32"/>
        <v>313242.83796845202</v>
      </c>
      <c r="AL21" s="46">
        <f t="shared" si="33"/>
        <v>8.1049760257072306E-2</v>
      </c>
      <c r="AM21" s="68">
        <v>6376.5264721946796</v>
      </c>
      <c r="AN21" s="60">
        <f t="shared" si="34"/>
        <v>528.87352780532001</v>
      </c>
      <c r="AO21" s="60">
        <f t="shared" si="35"/>
        <v>528.87352780532001</v>
      </c>
      <c r="AP21" s="60">
        <f t="shared" si="36"/>
        <v>279707.20841324457</v>
      </c>
      <c r="AQ21" s="46">
        <f t="shared" si="37"/>
        <v>7.6588398616346628E-2</v>
      </c>
    </row>
    <row r="22" spans="2:43">
      <c r="B22" s="42" t="s">
        <v>101</v>
      </c>
      <c r="C22" s="60">
        <v>7166.3</v>
      </c>
      <c r="D22" s="65">
        <f t="shared" si="1"/>
        <v>6206.3</v>
      </c>
      <c r="E22" s="60">
        <f t="shared" si="2"/>
        <v>960</v>
      </c>
      <c r="F22" s="60">
        <f t="shared" si="3"/>
        <v>960</v>
      </c>
      <c r="G22" s="60">
        <f t="shared" si="4"/>
        <v>921600</v>
      </c>
      <c r="H22" s="46">
        <f t="shared" si="5"/>
        <v>0.13396034215704059</v>
      </c>
      <c r="I22" s="65">
        <f t="shared" si="6"/>
        <v>6384</v>
      </c>
      <c r="J22" s="60">
        <f t="shared" si="7"/>
        <v>782.30000000000018</v>
      </c>
      <c r="K22" s="60">
        <f t="shared" si="8"/>
        <v>782.30000000000018</v>
      </c>
      <c r="L22" s="60">
        <f t="shared" si="9"/>
        <v>611993.29000000027</v>
      </c>
      <c r="M22" s="46">
        <f t="shared" si="10"/>
        <v>0.10916372465568008</v>
      </c>
      <c r="N22" s="65">
        <f t="shared" si="0"/>
        <v>6384</v>
      </c>
      <c r="O22" s="60">
        <f t="shared" si="11"/>
        <v>782.30000000000018</v>
      </c>
      <c r="P22" s="60">
        <f t="shared" si="12"/>
        <v>782.30000000000018</v>
      </c>
      <c r="Q22" s="60">
        <f t="shared" si="13"/>
        <v>611993.29000000027</v>
      </c>
      <c r="R22" s="46">
        <f t="shared" si="14"/>
        <v>0.10916372465568008</v>
      </c>
      <c r="S22" s="61">
        <f t="shared" si="38"/>
        <v>6597.0020476830387</v>
      </c>
      <c r="T22" s="60">
        <f t="shared" si="15"/>
        <v>569.29795231696153</v>
      </c>
      <c r="U22" s="60">
        <f t="shared" si="16"/>
        <v>569.29795231696153</v>
      </c>
      <c r="V22" s="60">
        <f t="shared" si="17"/>
        <v>324100.15851228539</v>
      </c>
      <c r="W22" s="46">
        <f t="shared" si="18"/>
        <v>7.9440988001752866E-2</v>
      </c>
      <c r="X22" s="61">
        <f t="shared" si="19"/>
        <v>6937.0716137320042</v>
      </c>
      <c r="Y22" s="61">
        <f t="shared" si="20"/>
        <v>-0.12264150943396226</v>
      </c>
      <c r="Z22" s="61">
        <f t="shared" si="21"/>
        <v>6596.786780391024</v>
      </c>
      <c r="AA22" s="60">
        <f t="shared" si="22"/>
        <v>569.51321960897621</v>
      </c>
      <c r="AB22" s="60">
        <f t="shared" si="23"/>
        <v>569.51321960897621</v>
      </c>
      <c r="AC22" s="60">
        <f t="shared" si="24"/>
        <v>324345.30730938195</v>
      </c>
      <c r="AD22" s="46">
        <f t="shared" si="25"/>
        <v>7.9471026835183589E-2</v>
      </c>
      <c r="AE22" s="61">
        <f t="shared" si="26"/>
        <v>6749.8267411721954</v>
      </c>
      <c r="AF22" s="61">
        <f t="shared" si="27"/>
        <v>0</v>
      </c>
      <c r="AG22" s="61">
        <f t="shared" si="28"/>
        <v>1.0611371514414689</v>
      </c>
      <c r="AH22" s="61">
        <f t="shared" si="29"/>
        <v>7147.7915010161332</v>
      </c>
      <c r="AI22" s="60">
        <f t="shared" si="30"/>
        <v>18.508498983866957</v>
      </c>
      <c r="AJ22" s="60">
        <f t="shared" si="31"/>
        <v>18.508498983866957</v>
      </c>
      <c r="AK22" s="60">
        <f t="shared" si="32"/>
        <v>342.56453463580419</v>
      </c>
      <c r="AL22" s="46">
        <f t="shared" si="33"/>
        <v>2.5827133923875581E-3</v>
      </c>
      <c r="AM22" s="68">
        <v>7279.2512507399897</v>
      </c>
      <c r="AN22" s="60">
        <f t="shared" si="34"/>
        <v>-112.95125073998952</v>
      </c>
      <c r="AO22" s="60">
        <f t="shared" si="35"/>
        <v>112.95125073998952</v>
      </c>
      <c r="AP22" s="60">
        <f t="shared" si="36"/>
        <v>12757.985043727982</v>
      </c>
      <c r="AQ22" s="46">
        <f t="shared" si="37"/>
        <v>1.5761446037702791E-2</v>
      </c>
    </row>
    <row r="23" spans="2:43">
      <c r="B23" s="42" t="s">
        <v>102</v>
      </c>
      <c r="C23" s="60">
        <v>6822.7000000000007</v>
      </c>
      <c r="D23" s="65">
        <f t="shared" si="1"/>
        <v>5917.5</v>
      </c>
      <c r="E23" s="60">
        <f t="shared" si="2"/>
        <v>905.20000000000073</v>
      </c>
      <c r="F23" s="60">
        <f t="shared" si="3"/>
        <v>905.20000000000073</v>
      </c>
      <c r="G23" s="60">
        <f t="shared" si="4"/>
        <v>819387.04000000132</v>
      </c>
      <c r="H23" s="46">
        <f t="shared" si="5"/>
        <v>0.13267474753396757</v>
      </c>
      <c r="I23" s="65">
        <f t="shared" si="6"/>
        <v>6599.3499999999995</v>
      </c>
      <c r="J23" s="60">
        <f t="shared" si="7"/>
        <v>223.35000000000127</v>
      </c>
      <c r="K23" s="60">
        <f t="shared" si="8"/>
        <v>223.35000000000127</v>
      </c>
      <c r="L23" s="60">
        <f t="shared" si="9"/>
        <v>49885.222500000571</v>
      </c>
      <c r="M23" s="46">
        <f t="shared" si="10"/>
        <v>3.2736306740733322E-2</v>
      </c>
      <c r="N23" s="65">
        <f t="shared" si="0"/>
        <v>6599.3499999999995</v>
      </c>
      <c r="O23" s="60">
        <f t="shared" si="11"/>
        <v>223.35000000000127</v>
      </c>
      <c r="P23" s="60">
        <f t="shared" si="12"/>
        <v>223.35000000000127</v>
      </c>
      <c r="Q23" s="60">
        <f t="shared" si="13"/>
        <v>49885.222500000571</v>
      </c>
      <c r="R23" s="46">
        <f t="shared" si="14"/>
        <v>3.2736306740733322E-2</v>
      </c>
      <c r="S23" s="61">
        <f t="shared" si="38"/>
        <v>6937.1658026846681</v>
      </c>
      <c r="T23" s="60">
        <f t="shared" si="15"/>
        <v>-114.46580268466732</v>
      </c>
      <c r="U23" s="60">
        <f t="shared" si="16"/>
        <v>114.46580268466732</v>
      </c>
      <c r="V23" s="60">
        <f t="shared" si="17"/>
        <v>13102.419984245193</v>
      </c>
      <c r="W23" s="46">
        <f t="shared" si="18"/>
        <v>1.6777200035860775E-2</v>
      </c>
      <c r="X23" s="61">
        <f t="shared" si="19"/>
        <v>6868.6850739783322</v>
      </c>
      <c r="Y23" s="61">
        <f t="shared" si="20"/>
        <v>-0.12264150943396226</v>
      </c>
      <c r="Z23" s="61">
        <f t="shared" si="21"/>
        <v>6936.9489722225699</v>
      </c>
      <c r="AA23" s="60">
        <f t="shared" si="22"/>
        <v>-114.24897222256914</v>
      </c>
      <c r="AB23" s="60">
        <f t="shared" si="23"/>
        <v>114.24897222256914</v>
      </c>
      <c r="AC23" s="60">
        <f t="shared" si="24"/>
        <v>13052.827653913375</v>
      </c>
      <c r="AD23" s="46">
        <f t="shared" si="25"/>
        <v>1.674541929479079E-2</v>
      </c>
      <c r="AE23" s="61">
        <f t="shared" si="26"/>
        <v>6602.9335337425782</v>
      </c>
      <c r="AF23" s="61">
        <f t="shared" si="27"/>
        <v>0</v>
      </c>
      <c r="AG23" s="61">
        <f t="shared" si="28"/>
        <v>1.0413021650132501</v>
      </c>
      <c r="AH23" s="61">
        <f t="shared" si="29"/>
        <v>7080.0492252925669</v>
      </c>
      <c r="AI23" s="60">
        <f t="shared" si="30"/>
        <v>-257.34922529256619</v>
      </c>
      <c r="AJ23" s="60">
        <f t="shared" si="31"/>
        <v>257.34922529256619</v>
      </c>
      <c r="AK23" s="60">
        <f t="shared" si="32"/>
        <v>66228.623758683985</v>
      </c>
      <c r="AL23" s="46">
        <f t="shared" si="33"/>
        <v>3.7719557549440272E-2</v>
      </c>
      <c r="AM23" s="68">
        <v>7122.7128949827202</v>
      </c>
      <c r="AN23" s="60">
        <f t="shared" si="34"/>
        <v>-300.01289498271944</v>
      </c>
      <c r="AO23" s="60">
        <f t="shared" si="35"/>
        <v>300.01289498271944</v>
      </c>
      <c r="AP23" s="60">
        <f t="shared" si="36"/>
        <v>90007.73715591224</v>
      </c>
      <c r="AQ23" s="46">
        <f t="shared" si="37"/>
        <v>4.3972751987148694E-2</v>
      </c>
    </row>
    <row r="24" spans="2:43">
      <c r="B24" s="42" t="s">
        <v>103</v>
      </c>
      <c r="C24" s="60">
        <v>6546.6</v>
      </c>
      <c r="D24" s="65">
        <f t="shared" si="1"/>
        <v>5599.7</v>
      </c>
      <c r="E24" s="60">
        <f t="shared" si="2"/>
        <v>946.90000000000055</v>
      </c>
      <c r="F24" s="60">
        <f t="shared" si="3"/>
        <v>946.90000000000055</v>
      </c>
      <c r="G24" s="60">
        <f t="shared" si="4"/>
        <v>896619.61000000103</v>
      </c>
      <c r="H24" s="46">
        <f t="shared" si="5"/>
        <v>0.1446399657837657</v>
      </c>
      <c r="I24" s="65">
        <f t="shared" si="6"/>
        <v>6751.5</v>
      </c>
      <c r="J24" s="60">
        <f t="shared" si="7"/>
        <v>-204.89999999999964</v>
      </c>
      <c r="K24" s="60">
        <f t="shared" si="8"/>
        <v>204.89999999999964</v>
      </c>
      <c r="L24" s="60">
        <f t="shared" si="9"/>
        <v>41984.009999999849</v>
      </c>
      <c r="M24" s="46">
        <f t="shared" si="10"/>
        <v>3.1298689396022303E-2</v>
      </c>
      <c r="N24" s="65">
        <f t="shared" si="0"/>
        <v>6751.5</v>
      </c>
      <c r="O24" s="60">
        <f t="shared" si="11"/>
        <v>-204.89999999999964</v>
      </c>
      <c r="P24" s="60">
        <f t="shared" si="12"/>
        <v>204.89999999999964</v>
      </c>
      <c r="Q24" s="60">
        <f t="shared" si="13"/>
        <v>41984.009999999849</v>
      </c>
      <c r="R24" s="46">
        <f t="shared" si="14"/>
        <v>3.1298689396022303E-2</v>
      </c>
      <c r="S24" s="61">
        <f t="shared" si="38"/>
        <v>6868.7708311200886</v>
      </c>
      <c r="T24" s="60">
        <f t="shared" si="15"/>
        <v>-322.17083112008822</v>
      </c>
      <c r="U24" s="60">
        <f t="shared" si="16"/>
        <v>322.17083112008822</v>
      </c>
      <c r="V24" s="60">
        <f t="shared" si="17"/>
        <v>103794.04442460841</v>
      </c>
      <c r="W24" s="46">
        <f t="shared" si="18"/>
        <v>4.9211931555324627E-2</v>
      </c>
      <c r="X24" s="61">
        <f t="shared" si="19"/>
        <v>6676.1894920304694</v>
      </c>
      <c r="Y24" s="61">
        <f t="shared" si="20"/>
        <v>-0.12264150943396226</v>
      </c>
      <c r="Z24" s="61">
        <f t="shared" si="21"/>
        <v>6868.5624324688979</v>
      </c>
      <c r="AA24" s="60">
        <f t="shared" si="22"/>
        <v>-321.96243246889753</v>
      </c>
      <c r="AB24" s="60">
        <f t="shared" si="23"/>
        <v>321.96243246889753</v>
      </c>
      <c r="AC24" s="60">
        <f t="shared" si="24"/>
        <v>103659.80792128941</v>
      </c>
      <c r="AD24" s="46">
        <f t="shared" si="25"/>
        <v>4.9180098443298431E-2</v>
      </c>
      <c r="AE24" s="61">
        <f t="shared" si="26"/>
        <v>6855.6898273022107</v>
      </c>
      <c r="AF24" s="61">
        <f t="shared" si="27"/>
        <v>0</v>
      </c>
      <c r="AG24" s="61">
        <f t="shared" si="28"/>
        <v>0.94310819809430391</v>
      </c>
      <c r="AH24" s="61">
        <f t="shared" si="29"/>
        <v>6153.1921433365733</v>
      </c>
      <c r="AI24" s="60">
        <f t="shared" si="30"/>
        <v>393.40785666342708</v>
      </c>
      <c r="AJ24" s="60">
        <f t="shared" si="31"/>
        <v>393.40785666342708</v>
      </c>
      <c r="AK24" s="60">
        <f t="shared" si="32"/>
        <v>154769.74168451159</v>
      </c>
      <c r="AL24" s="46">
        <f t="shared" si="33"/>
        <v>6.0093461745551441E-2</v>
      </c>
      <c r="AM24" s="68">
        <v>6712.8575041595896</v>
      </c>
      <c r="AN24" s="60">
        <f t="shared" si="34"/>
        <v>-166.25750415958919</v>
      </c>
      <c r="AO24" s="60">
        <f t="shared" si="35"/>
        <v>166.25750415958919</v>
      </c>
      <c r="AP24" s="60">
        <f t="shared" si="36"/>
        <v>27641.557689375815</v>
      </c>
      <c r="AQ24" s="46">
        <f t="shared" si="37"/>
        <v>2.5396007723030151E-2</v>
      </c>
    </row>
    <row r="25" spans="2:43">
      <c r="B25" s="42" t="s">
        <v>104</v>
      </c>
      <c r="C25" s="60">
        <v>6915.9</v>
      </c>
      <c r="D25" s="65">
        <f t="shared" si="1"/>
        <v>6166.0333333333328</v>
      </c>
      <c r="E25" s="60">
        <f t="shared" si="2"/>
        <v>749.86666666666679</v>
      </c>
      <c r="F25" s="60">
        <f t="shared" si="3"/>
        <v>749.86666666666679</v>
      </c>
      <c r="G25" s="60">
        <f t="shared" si="4"/>
        <v>562300.01777777798</v>
      </c>
      <c r="H25" s="46">
        <f t="shared" si="5"/>
        <v>0.10842647618772204</v>
      </c>
      <c r="I25" s="65">
        <f t="shared" si="6"/>
        <v>6860.25</v>
      </c>
      <c r="J25" s="60">
        <f t="shared" si="7"/>
        <v>55.649999999999636</v>
      </c>
      <c r="K25" s="60">
        <f t="shared" si="8"/>
        <v>55.649999999999636</v>
      </c>
      <c r="L25" s="60">
        <f t="shared" si="9"/>
        <v>3096.9224999999597</v>
      </c>
      <c r="M25" s="46">
        <f t="shared" si="10"/>
        <v>8.0466750531383684E-3</v>
      </c>
      <c r="N25" s="65">
        <f t="shared" si="0"/>
        <v>6860.25</v>
      </c>
      <c r="O25" s="60">
        <f t="shared" si="11"/>
        <v>55.649999999999636</v>
      </c>
      <c r="P25" s="60">
        <f t="shared" si="12"/>
        <v>55.649999999999636</v>
      </c>
      <c r="Q25" s="60">
        <f t="shared" si="13"/>
        <v>3096.9224999999597</v>
      </c>
      <c r="R25" s="46">
        <f t="shared" si="14"/>
        <v>8.0466750531383684E-3</v>
      </c>
      <c r="S25" s="61">
        <f t="shared" si="38"/>
        <v>6676.2691029480729</v>
      </c>
      <c r="T25" s="60">
        <f t="shared" si="15"/>
        <v>239.63089705192669</v>
      </c>
      <c r="U25" s="60">
        <f t="shared" si="16"/>
        <v>239.63089705192669</v>
      </c>
      <c r="V25" s="60">
        <f t="shared" si="17"/>
        <v>57422.96682191109</v>
      </c>
      <c r="W25" s="46">
        <f t="shared" si="18"/>
        <v>3.464927154122048E-2</v>
      </c>
      <c r="X25" s="61">
        <f t="shared" si="19"/>
        <v>6819.3674456435256</v>
      </c>
      <c r="Y25" s="61">
        <f t="shared" si="20"/>
        <v>-0.12264150943396226</v>
      </c>
      <c r="Z25" s="61">
        <f t="shared" si="21"/>
        <v>6676.0668505210351</v>
      </c>
      <c r="AA25" s="60">
        <f t="shared" si="22"/>
        <v>239.83314947896451</v>
      </c>
      <c r="AB25" s="60">
        <f t="shared" si="23"/>
        <v>239.83314947896451</v>
      </c>
      <c r="AC25" s="60">
        <f t="shared" si="24"/>
        <v>57519.939588999339</v>
      </c>
      <c r="AD25" s="46">
        <f t="shared" si="25"/>
        <v>3.4678516097538213E-2</v>
      </c>
      <c r="AE25" s="61">
        <f t="shared" si="26"/>
        <v>6860.7193090750206</v>
      </c>
      <c r="AF25" s="61">
        <f t="shared" si="27"/>
        <v>0</v>
      </c>
      <c r="AG25" s="61">
        <f t="shared" si="28"/>
        <v>1.0077891657930063</v>
      </c>
      <c r="AH25" s="61">
        <f t="shared" si="29"/>
        <v>6907.4361792243471</v>
      </c>
      <c r="AI25" s="60">
        <f t="shared" si="30"/>
        <v>8.4638207756524935</v>
      </c>
      <c r="AJ25" s="60">
        <f t="shared" si="31"/>
        <v>8.4638207756524935</v>
      </c>
      <c r="AK25" s="60">
        <f t="shared" si="32"/>
        <v>71.636262122366773</v>
      </c>
      <c r="AL25" s="46">
        <f t="shared" si="33"/>
        <v>1.2238205838216998E-3</v>
      </c>
      <c r="AM25" s="68">
        <v>6961.1540583749702</v>
      </c>
      <c r="AN25" s="60">
        <f t="shared" si="34"/>
        <v>-45.254058374970555</v>
      </c>
      <c r="AO25" s="60">
        <f t="shared" si="35"/>
        <v>45.254058374970555</v>
      </c>
      <c r="AP25" s="60">
        <f t="shared" si="36"/>
        <v>2047.9297994052426</v>
      </c>
      <c r="AQ25" s="46">
        <f t="shared" si="37"/>
        <v>6.5434807291850023E-3</v>
      </c>
    </row>
    <row r="26" spans="2:43">
      <c r="B26" s="42" t="s">
        <v>105</v>
      </c>
      <c r="C26" s="60">
        <v>7152.4</v>
      </c>
      <c r="D26" s="65">
        <f t="shared" si="1"/>
        <v>6505.9666666666662</v>
      </c>
      <c r="E26" s="60">
        <f t="shared" si="2"/>
        <v>646.43333333333339</v>
      </c>
      <c r="F26" s="60">
        <f t="shared" si="3"/>
        <v>646.43333333333339</v>
      </c>
      <c r="G26" s="60">
        <f t="shared" si="4"/>
        <v>417876.05444444454</v>
      </c>
      <c r="H26" s="46">
        <f t="shared" si="5"/>
        <v>9.0379919094756081E-2</v>
      </c>
      <c r="I26" s="65">
        <f t="shared" si="6"/>
        <v>6862.875</v>
      </c>
      <c r="J26" s="60">
        <f t="shared" si="7"/>
        <v>289.52499999999964</v>
      </c>
      <c r="K26" s="60">
        <f t="shared" si="8"/>
        <v>289.52499999999964</v>
      </c>
      <c r="L26" s="60">
        <f t="shared" si="9"/>
        <v>83824.725624999788</v>
      </c>
      <c r="M26" s="46">
        <f t="shared" si="10"/>
        <v>4.0479419495553892E-2</v>
      </c>
      <c r="N26" s="65">
        <f t="shared" si="0"/>
        <v>6862.875</v>
      </c>
      <c r="O26" s="60">
        <f t="shared" si="11"/>
        <v>289.52499999999964</v>
      </c>
      <c r="P26" s="60">
        <f t="shared" si="12"/>
        <v>289.52499999999964</v>
      </c>
      <c r="Q26" s="60">
        <f t="shared" si="13"/>
        <v>83824.725624999788</v>
      </c>
      <c r="R26" s="46">
        <f t="shared" si="14"/>
        <v>4.0479419495553892E-2</v>
      </c>
      <c r="S26" s="61">
        <f t="shared" si="38"/>
        <v>6819.4520275025043</v>
      </c>
      <c r="T26" s="60">
        <f t="shared" si="15"/>
        <v>332.94797249749536</v>
      </c>
      <c r="U26" s="60">
        <f t="shared" si="16"/>
        <v>332.94797249749536</v>
      </c>
      <c r="V26" s="60">
        <f t="shared" si="17"/>
        <v>110854.35239019293</v>
      </c>
      <c r="W26" s="46">
        <f t="shared" si="18"/>
        <v>4.6550524648718665E-2</v>
      </c>
      <c r="X26" s="61">
        <f t="shared" si="19"/>
        <v>7018.3054341573061</v>
      </c>
      <c r="Y26" s="61">
        <f t="shared" si="20"/>
        <v>-0.12264150943396226</v>
      </c>
      <c r="Z26" s="61">
        <f t="shared" si="21"/>
        <v>6819.2448041340913</v>
      </c>
      <c r="AA26" s="60">
        <f t="shared" si="22"/>
        <v>333.15519586590835</v>
      </c>
      <c r="AB26" s="60">
        <f t="shared" si="23"/>
        <v>333.15519586590835</v>
      </c>
      <c r="AC26" s="60">
        <f t="shared" si="24"/>
        <v>110992.38453245176</v>
      </c>
      <c r="AD26" s="46">
        <f t="shared" si="25"/>
        <v>4.6579497212950668E-2</v>
      </c>
      <c r="AE26" s="61">
        <f t="shared" si="26"/>
        <v>6788.6318078339491</v>
      </c>
      <c r="AF26" s="61">
        <f t="shared" si="27"/>
        <v>0</v>
      </c>
      <c r="AG26" s="61">
        <f t="shared" si="28"/>
        <v>1.0574571384385845</v>
      </c>
      <c r="AH26" s="61">
        <f t="shared" si="29"/>
        <v>7280.1641444713505</v>
      </c>
      <c r="AI26" s="60">
        <f t="shared" si="30"/>
        <v>-127.76414447135085</v>
      </c>
      <c r="AJ26" s="60">
        <f t="shared" si="31"/>
        <v>127.76414447135085</v>
      </c>
      <c r="AK26" s="60">
        <f t="shared" si="32"/>
        <v>16323.676612496211</v>
      </c>
      <c r="AL26" s="46">
        <f t="shared" si="33"/>
        <v>1.7863115104209897E-2</v>
      </c>
      <c r="AM26" s="68">
        <v>7372.9762857230098</v>
      </c>
      <c r="AN26" s="60">
        <f t="shared" si="34"/>
        <v>-220.57628572301019</v>
      </c>
      <c r="AO26" s="60">
        <f t="shared" si="35"/>
        <v>220.57628572301019</v>
      </c>
      <c r="AP26" s="60">
        <f t="shared" si="36"/>
        <v>48653.897823359024</v>
      </c>
      <c r="AQ26" s="46">
        <f t="shared" si="37"/>
        <v>3.0839478458001536E-2</v>
      </c>
    </row>
    <row r="27" spans="2:43">
      <c r="B27" s="42" t="s">
        <v>106</v>
      </c>
      <c r="C27" s="60">
        <v>6952.0999999999985</v>
      </c>
      <c r="D27" s="65">
        <f t="shared" si="1"/>
        <v>6336.7333333333336</v>
      </c>
      <c r="E27" s="60">
        <f t="shared" si="2"/>
        <v>615.36666666666497</v>
      </c>
      <c r="F27" s="60">
        <f t="shared" si="3"/>
        <v>615.36666666666497</v>
      </c>
      <c r="G27" s="60">
        <f t="shared" si="4"/>
        <v>378676.13444444234</v>
      </c>
      <c r="H27" s="46">
        <f t="shared" si="5"/>
        <v>8.8515220820567175E-2</v>
      </c>
      <c r="I27" s="65">
        <f t="shared" si="6"/>
        <v>6859.4</v>
      </c>
      <c r="J27" s="60">
        <f t="shared" si="7"/>
        <v>92.699999999998909</v>
      </c>
      <c r="K27" s="60">
        <f t="shared" si="8"/>
        <v>92.699999999998909</v>
      </c>
      <c r="L27" s="60">
        <f t="shared" si="9"/>
        <v>8593.2899999997971</v>
      </c>
      <c r="M27" s="46">
        <f t="shared" si="10"/>
        <v>1.3334100487622291E-2</v>
      </c>
      <c r="N27" s="65">
        <f t="shared" si="0"/>
        <v>6859.4</v>
      </c>
      <c r="O27" s="60">
        <f t="shared" si="11"/>
        <v>92.699999999998909</v>
      </c>
      <c r="P27" s="60">
        <f t="shared" si="12"/>
        <v>92.699999999998909</v>
      </c>
      <c r="Q27" s="60">
        <f t="shared" si="13"/>
        <v>8593.2899999997971</v>
      </c>
      <c r="R27" s="46">
        <f t="shared" si="14"/>
        <v>1.3334100487622291E-2</v>
      </c>
      <c r="S27" s="61">
        <f t="shared" si="38"/>
        <v>7018.3932534176656</v>
      </c>
      <c r="T27" s="60">
        <f t="shared" si="15"/>
        <v>-66.293253417667074</v>
      </c>
      <c r="U27" s="60">
        <f t="shared" si="16"/>
        <v>66.293253417667074</v>
      </c>
      <c r="V27" s="60">
        <f t="shared" si="17"/>
        <v>4394.7954486990275</v>
      </c>
      <c r="W27" s="46">
        <f t="shared" si="18"/>
        <v>9.5357163184745745E-3</v>
      </c>
      <c r="X27" s="61">
        <f t="shared" si="19"/>
        <v>6978.6982446011598</v>
      </c>
      <c r="Y27" s="61">
        <f t="shared" si="20"/>
        <v>-0.12264150943396226</v>
      </c>
      <c r="Z27" s="61">
        <f t="shared" si="21"/>
        <v>7018.1827926478718</v>
      </c>
      <c r="AA27" s="60">
        <f t="shared" si="22"/>
        <v>-66.082792647873248</v>
      </c>
      <c r="AB27" s="60">
        <f t="shared" si="23"/>
        <v>66.082792647873248</v>
      </c>
      <c r="AC27" s="60">
        <f t="shared" si="24"/>
        <v>4366.9354841418108</v>
      </c>
      <c r="AD27" s="46">
        <f t="shared" si="25"/>
        <v>9.5054433405551211E-3</v>
      </c>
      <c r="AE27" s="61">
        <f t="shared" si="26"/>
        <v>6721.4079567343433</v>
      </c>
      <c r="AF27" s="61">
        <f t="shared" si="27"/>
        <v>0</v>
      </c>
      <c r="AG27" s="61">
        <f t="shared" si="28"/>
        <v>1.0379009035360702</v>
      </c>
      <c r="AH27" s="61">
        <f t="shared" si="29"/>
        <v>7069.0169989753058</v>
      </c>
      <c r="AI27" s="60">
        <f t="shared" si="30"/>
        <v>-116.91699897530725</v>
      </c>
      <c r="AJ27" s="60">
        <f t="shared" si="31"/>
        <v>116.91699897530725</v>
      </c>
      <c r="AK27" s="60">
        <f t="shared" si="32"/>
        <v>13669.584649391996</v>
      </c>
      <c r="AL27" s="46">
        <f t="shared" si="33"/>
        <v>1.6817508231369984E-2</v>
      </c>
      <c r="AM27" s="68">
        <v>7047.6662443963496</v>
      </c>
      <c r="AN27" s="60">
        <f t="shared" si="34"/>
        <v>-95.566244396351067</v>
      </c>
      <c r="AO27" s="60">
        <f t="shared" si="35"/>
        <v>95.566244396351067</v>
      </c>
      <c r="AP27" s="60">
        <f t="shared" si="36"/>
        <v>9132.9070680231016</v>
      </c>
      <c r="AQ27" s="46">
        <f t="shared" si="37"/>
        <v>1.3746385178054269E-2</v>
      </c>
    </row>
    <row r="28" spans="2:43">
      <c r="B28" s="42" t="s">
        <v>107</v>
      </c>
      <c r="C28" s="60">
        <v>6605.3</v>
      </c>
      <c r="D28" s="65">
        <f t="shared" si="1"/>
        <v>6089.4333333333343</v>
      </c>
      <c r="E28" s="60">
        <f t="shared" si="2"/>
        <v>515.86666666666588</v>
      </c>
      <c r="F28" s="60">
        <f t="shared" si="3"/>
        <v>515.86666666666588</v>
      </c>
      <c r="G28" s="60">
        <f t="shared" si="4"/>
        <v>266118.41777777695</v>
      </c>
      <c r="H28" s="46">
        <f t="shared" si="5"/>
        <v>7.8098900377979175E-2</v>
      </c>
      <c r="I28" s="65">
        <f t="shared" si="6"/>
        <v>6891.75</v>
      </c>
      <c r="J28" s="60">
        <f t="shared" si="7"/>
        <v>-286.44999999999982</v>
      </c>
      <c r="K28" s="60">
        <f t="shared" si="8"/>
        <v>286.44999999999982</v>
      </c>
      <c r="L28" s="60">
        <f t="shared" si="9"/>
        <v>82053.602499999892</v>
      </c>
      <c r="M28" s="46">
        <f t="shared" si="10"/>
        <v>4.3366690384993842E-2</v>
      </c>
      <c r="N28" s="65">
        <f t="shared" si="0"/>
        <v>6891.75</v>
      </c>
      <c r="O28" s="60">
        <f t="shared" si="11"/>
        <v>-286.44999999999982</v>
      </c>
      <c r="P28" s="60">
        <f t="shared" si="12"/>
        <v>286.44999999999982</v>
      </c>
      <c r="Q28" s="60">
        <f t="shared" si="13"/>
        <v>82053.602499999892</v>
      </c>
      <c r="R28" s="46">
        <f t="shared" si="14"/>
        <v>4.3366690384993842E-2</v>
      </c>
      <c r="S28" s="61">
        <f t="shared" si="38"/>
        <v>6978.782076314269</v>
      </c>
      <c r="T28" s="60">
        <f t="shared" si="15"/>
        <v>-373.48207631426885</v>
      </c>
      <c r="U28" s="60">
        <f t="shared" si="16"/>
        <v>373.48207631426885</v>
      </c>
      <c r="V28" s="60">
        <f t="shared" si="17"/>
        <v>139488.86132801734</v>
      </c>
      <c r="W28" s="46">
        <f t="shared" si="18"/>
        <v>5.6542787808921448E-2</v>
      </c>
      <c r="X28" s="61">
        <f t="shared" si="19"/>
        <v>6755.5429815214429</v>
      </c>
      <c r="Y28" s="61">
        <f t="shared" si="20"/>
        <v>-0.12264150943396226</v>
      </c>
      <c r="Z28" s="61">
        <f t="shared" si="21"/>
        <v>6978.5756030917255</v>
      </c>
      <c r="AA28" s="60">
        <f t="shared" si="22"/>
        <v>-373.27560309172532</v>
      </c>
      <c r="AB28" s="60">
        <f t="shared" si="23"/>
        <v>373.27560309172532</v>
      </c>
      <c r="AC28" s="60">
        <f t="shared" si="24"/>
        <v>139334.67586349125</v>
      </c>
      <c r="AD28" s="46">
        <f t="shared" si="25"/>
        <v>5.6511529089023252E-2</v>
      </c>
      <c r="AE28" s="61">
        <f t="shared" si="26"/>
        <v>6890.4550744869948</v>
      </c>
      <c r="AF28" s="61">
        <f t="shared" si="27"/>
        <v>0</v>
      </c>
      <c r="AG28" s="61">
        <f t="shared" si="28"/>
        <v>0.95066471226498162</v>
      </c>
      <c r="AH28" s="61">
        <f t="shared" si="29"/>
        <v>6339.0149467324436</v>
      </c>
      <c r="AI28" s="60">
        <f t="shared" si="30"/>
        <v>266.28505326755658</v>
      </c>
      <c r="AJ28" s="60">
        <f t="shared" si="31"/>
        <v>266.28505326755658</v>
      </c>
      <c r="AK28" s="60">
        <f t="shared" si="32"/>
        <v>70907.729593705444</v>
      </c>
      <c r="AL28" s="46">
        <f t="shared" si="33"/>
        <v>4.0313846951320391E-2</v>
      </c>
      <c r="AM28" s="68">
        <v>6763.4826882775997</v>
      </c>
      <c r="AN28" s="60">
        <f t="shared" si="34"/>
        <v>-158.18268827759948</v>
      </c>
      <c r="AO28" s="60">
        <f t="shared" si="35"/>
        <v>158.18268827759948</v>
      </c>
      <c r="AP28" s="60">
        <f t="shared" si="36"/>
        <v>25021.762870728209</v>
      </c>
      <c r="AQ28" s="46">
        <f t="shared" si="37"/>
        <v>2.394784313772266E-2</v>
      </c>
    </row>
    <row r="29" spans="2:43">
      <c r="B29" s="42" t="s">
        <v>108</v>
      </c>
      <c r="C29" s="60">
        <v>7083.8</v>
      </c>
      <c r="D29" s="65">
        <f t="shared" si="1"/>
        <v>6588.9333333333334</v>
      </c>
      <c r="E29" s="60">
        <f t="shared" si="2"/>
        <v>494.86666666666679</v>
      </c>
      <c r="F29" s="60">
        <f t="shared" si="3"/>
        <v>494.86666666666679</v>
      </c>
      <c r="G29" s="60">
        <f t="shared" si="4"/>
        <v>244893.01777777789</v>
      </c>
      <c r="H29" s="46">
        <f t="shared" si="5"/>
        <v>6.9858926941283886E-2</v>
      </c>
      <c r="I29" s="65">
        <f t="shared" si="6"/>
        <v>6906.4249999999993</v>
      </c>
      <c r="J29" s="60">
        <f t="shared" si="7"/>
        <v>177.37500000000091</v>
      </c>
      <c r="K29" s="60">
        <f t="shared" si="8"/>
        <v>177.37500000000091</v>
      </c>
      <c r="L29" s="60">
        <f t="shared" si="9"/>
        <v>31461.890625000324</v>
      </c>
      <c r="M29" s="46">
        <f t="shared" si="10"/>
        <v>2.5039526807645741E-2</v>
      </c>
      <c r="N29" s="65">
        <f t="shared" si="0"/>
        <v>6906.4249999999993</v>
      </c>
      <c r="O29" s="60">
        <f t="shared" si="11"/>
        <v>177.37500000000091</v>
      </c>
      <c r="P29" s="60">
        <f t="shared" si="12"/>
        <v>177.37500000000091</v>
      </c>
      <c r="Q29" s="60">
        <f t="shared" si="13"/>
        <v>31461.890625000324</v>
      </c>
      <c r="R29" s="46">
        <f t="shared" si="14"/>
        <v>2.5039526807645741E-2</v>
      </c>
      <c r="S29" s="61">
        <f t="shared" si="38"/>
        <v>6755.6211374986433</v>
      </c>
      <c r="T29" s="60">
        <f t="shared" si="15"/>
        <v>328.17886250135689</v>
      </c>
      <c r="U29" s="60">
        <f t="shared" si="16"/>
        <v>328.17886250135689</v>
      </c>
      <c r="V29" s="60">
        <f t="shared" si="17"/>
        <v>107701.3657926845</v>
      </c>
      <c r="W29" s="46">
        <f t="shared" si="18"/>
        <v>4.6328081326598276E-2</v>
      </c>
      <c r="X29" s="61">
        <f t="shared" si="19"/>
        <v>6951.6275816073903</v>
      </c>
      <c r="Y29" s="61">
        <f t="shared" si="20"/>
        <v>-0.12264150943396226</v>
      </c>
      <c r="Z29" s="61">
        <f t="shared" si="21"/>
        <v>6755.4203400120086</v>
      </c>
      <c r="AA29" s="60">
        <f t="shared" si="22"/>
        <v>328.37965998799154</v>
      </c>
      <c r="AB29" s="60">
        <f t="shared" si="23"/>
        <v>328.37965998799154</v>
      </c>
      <c r="AC29" s="60">
        <f t="shared" si="24"/>
        <v>107833.20109382893</v>
      </c>
      <c r="AD29" s="46">
        <f t="shared" si="25"/>
        <v>4.6356427339562314E-2</v>
      </c>
      <c r="AE29" s="61">
        <f t="shared" si="26"/>
        <v>6973.4341276267669</v>
      </c>
      <c r="AF29" s="61">
        <f t="shared" si="27"/>
        <v>0</v>
      </c>
      <c r="AG29" s="61">
        <f t="shared" si="28"/>
        <v>1.0117056066567689</v>
      </c>
      <c r="AH29" s="61">
        <f t="shared" si="29"/>
        <v>6944.1259714514354</v>
      </c>
      <c r="AI29" s="60">
        <f t="shared" si="30"/>
        <v>139.67402854856482</v>
      </c>
      <c r="AJ29" s="60">
        <f t="shared" si="31"/>
        <v>139.67402854856482</v>
      </c>
      <c r="AK29" s="60">
        <f t="shared" si="32"/>
        <v>19508.834250985299</v>
      </c>
      <c r="AL29" s="46">
        <f t="shared" si="33"/>
        <v>1.9717387355453968E-2</v>
      </c>
      <c r="AM29" s="68">
        <v>6989.2647267335396</v>
      </c>
      <c r="AN29" s="60">
        <f t="shared" si="34"/>
        <v>94.535273266460536</v>
      </c>
      <c r="AO29" s="60">
        <f t="shared" si="35"/>
        <v>94.535273266460536</v>
      </c>
      <c r="AP29" s="60">
        <f t="shared" si="36"/>
        <v>8936.9178915643679</v>
      </c>
      <c r="AQ29" s="46">
        <f t="shared" si="37"/>
        <v>1.3345277007603339E-2</v>
      </c>
    </row>
    <row r="30" spans="2:43">
      <c r="B30" s="42" t="s">
        <v>109</v>
      </c>
      <c r="C30" s="60">
        <v>7323.4</v>
      </c>
      <c r="D30" s="65">
        <f t="shared" si="1"/>
        <v>6874.5333333333328</v>
      </c>
      <c r="E30" s="60">
        <f t="shared" si="2"/>
        <v>448.86666666666679</v>
      </c>
      <c r="F30" s="60">
        <f t="shared" si="3"/>
        <v>448.86666666666679</v>
      </c>
      <c r="G30" s="60">
        <f t="shared" si="4"/>
        <v>201481.28444444455</v>
      </c>
      <c r="H30" s="46">
        <f t="shared" si="5"/>
        <v>6.1292113863323977E-2</v>
      </c>
      <c r="I30" s="65">
        <f t="shared" si="6"/>
        <v>6948.4</v>
      </c>
      <c r="J30" s="60">
        <f t="shared" si="7"/>
        <v>375</v>
      </c>
      <c r="K30" s="60">
        <f t="shared" si="8"/>
        <v>375</v>
      </c>
      <c r="L30" s="60">
        <f t="shared" si="9"/>
        <v>140625</v>
      </c>
      <c r="M30" s="46">
        <f t="shared" si="10"/>
        <v>5.1205724117213317E-2</v>
      </c>
      <c r="N30" s="65">
        <f t="shared" si="0"/>
        <v>6948.4</v>
      </c>
      <c r="O30" s="60">
        <f t="shared" si="11"/>
        <v>375</v>
      </c>
      <c r="P30" s="60">
        <f t="shared" si="12"/>
        <v>375</v>
      </c>
      <c r="Q30" s="60">
        <f t="shared" si="13"/>
        <v>140625</v>
      </c>
      <c r="R30" s="46">
        <f t="shared" si="14"/>
        <v>5.1205724117213317E-2</v>
      </c>
      <c r="S30" s="61">
        <f t="shared" si="38"/>
        <v>6951.7127512595716</v>
      </c>
      <c r="T30" s="60">
        <f t="shared" si="15"/>
        <v>371.687248740428</v>
      </c>
      <c r="U30" s="60">
        <f t="shared" si="16"/>
        <v>371.687248740428</v>
      </c>
      <c r="V30" s="60">
        <f t="shared" si="17"/>
        <v>138151.41087622879</v>
      </c>
      <c r="W30" s="46">
        <f t="shared" si="18"/>
        <v>5.0753372578369066E-2</v>
      </c>
      <c r="X30" s="61">
        <f t="shared" si="19"/>
        <v>7173.7126854528215</v>
      </c>
      <c r="Y30" s="61">
        <f t="shared" si="20"/>
        <v>-0.12264150943396226</v>
      </c>
      <c r="Z30" s="61">
        <f t="shared" si="21"/>
        <v>6951.504940097956</v>
      </c>
      <c r="AA30" s="60">
        <f t="shared" si="22"/>
        <v>371.89505990204361</v>
      </c>
      <c r="AB30" s="60">
        <f t="shared" si="23"/>
        <v>371.89505990204361</v>
      </c>
      <c r="AC30" s="60">
        <f t="shared" si="24"/>
        <v>138305.9355795446</v>
      </c>
      <c r="AD30" s="46">
        <f t="shared" si="25"/>
        <v>5.0781748901062844E-2</v>
      </c>
      <c r="AE30" s="61">
        <f t="shared" si="26"/>
        <v>6944.7240993815767</v>
      </c>
      <c r="AF30" s="61">
        <f t="shared" si="27"/>
        <v>0</v>
      </c>
      <c r="AG30" s="61">
        <f t="shared" si="28"/>
        <v>1.0560294234712806</v>
      </c>
      <c r="AH30" s="61">
        <f t="shared" si="29"/>
        <v>7374.1076976901677</v>
      </c>
      <c r="AI30" s="60">
        <f t="shared" si="30"/>
        <v>-50.707697690168061</v>
      </c>
      <c r="AJ30" s="60">
        <f t="shared" si="31"/>
        <v>50.707697690168061</v>
      </c>
      <c r="AK30" s="60">
        <f t="shared" si="32"/>
        <v>2571.2706050374754</v>
      </c>
      <c r="AL30" s="46">
        <f t="shared" si="33"/>
        <v>6.9240650094448018E-3</v>
      </c>
      <c r="AM30" s="68">
        <v>7501.9651255152103</v>
      </c>
      <c r="AN30" s="60">
        <f t="shared" si="34"/>
        <v>-178.56512551521064</v>
      </c>
      <c r="AO30" s="60">
        <f t="shared" si="35"/>
        <v>178.56512551521064</v>
      </c>
      <c r="AP30" s="60">
        <f t="shared" si="36"/>
        <v>31885.504050262931</v>
      </c>
      <c r="AQ30" s="46">
        <f t="shared" si="37"/>
        <v>2.4382817477566519E-2</v>
      </c>
    </row>
    <row r="31" spans="2:43">
      <c r="B31" s="42" t="s">
        <v>110</v>
      </c>
      <c r="C31" s="60">
        <v>7093.2000000000007</v>
      </c>
      <c r="D31" s="65">
        <f t="shared" si="1"/>
        <v>6662.9666666666662</v>
      </c>
      <c r="E31" s="60">
        <f t="shared" si="2"/>
        <v>430.23333333333449</v>
      </c>
      <c r="F31" s="60">
        <f t="shared" si="3"/>
        <v>430.23333333333449</v>
      </c>
      <c r="G31" s="60">
        <f t="shared" si="4"/>
        <v>185100.7211111121</v>
      </c>
      <c r="H31" s="46">
        <f t="shared" si="5"/>
        <v>6.0654335607812332E-2</v>
      </c>
      <c r="I31" s="65">
        <f t="shared" si="6"/>
        <v>6991.15</v>
      </c>
      <c r="J31" s="60">
        <f t="shared" si="7"/>
        <v>102.05000000000109</v>
      </c>
      <c r="K31" s="60">
        <f t="shared" si="8"/>
        <v>102.05000000000109</v>
      </c>
      <c r="L31" s="60">
        <f t="shared" si="9"/>
        <v>10414.202500000223</v>
      </c>
      <c r="M31" s="46">
        <f t="shared" si="10"/>
        <v>1.4387018552980472E-2</v>
      </c>
      <c r="N31" s="65">
        <f t="shared" si="0"/>
        <v>6991.15</v>
      </c>
      <c r="O31" s="60">
        <f t="shared" si="11"/>
        <v>102.05000000000109</v>
      </c>
      <c r="P31" s="60">
        <f t="shared" si="12"/>
        <v>102.05000000000109</v>
      </c>
      <c r="Q31" s="60">
        <f t="shared" si="13"/>
        <v>10414.202500000223</v>
      </c>
      <c r="R31" s="46">
        <f t="shared" si="14"/>
        <v>1.4387018552980472E-2</v>
      </c>
      <c r="S31" s="61">
        <f t="shared" si="38"/>
        <v>7173.801254657832</v>
      </c>
      <c r="T31" s="60">
        <f t="shared" si="15"/>
        <v>-80.601254657831305</v>
      </c>
      <c r="U31" s="60">
        <f t="shared" si="16"/>
        <v>80.601254657831305</v>
      </c>
      <c r="V31" s="60">
        <f t="shared" si="17"/>
        <v>6496.5622524165728</v>
      </c>
      <c r="W31" s="46">
        <f t="shared" si="18"/>
        <v>1.1363172426807547E-2</v>
      </c>
      <c r="X31" s="61">
        <f t="shared" si="19"/>
        <v>7125.556896048538</v>
      </c>
      <c r="Y31" s="61">
        <f t="shared" si="20"/>
        <v>-0.12264150943396226</v>
      </c>
      <c r="Z31" s="61">
        <f t="shared" si="21"/>
        <v>7173.5900439433872</v>
      </c>
      <c r="AA31" s="60">
        <f t="shared" si="22"/>
        <v>-80.390043943386445</v>
      </c>
      <c r="AB31" s="60">
        <f t="shared" si="23"/>
        <v>80.390043943386445</v>
      </c>
      <c r="AC31" s="60">
        <f t="shared" si="24"/>
        <v>6462.5591652196035</v>
      </c>
      <c r="AD31" s="46">
        <f t="shared" si="25"/>
        <v>1.133339592051351E-2</v>
      </c>
      <c r="AE31" s="61">
        <f t="shared" si="26"/>
        <v>6878.538407823793</v>
      </c>
      <c r="AF31" s="61">
        <f t="shared" si="27"/>
        <v>0</v>
      </c>
      <c r="AG31" s="61">
        <f t="shared" si="28"/>
        <v>1.0346393542128984</v>
      </c>
      <c r="AH31" s="61">
        <f t="shared" si="29"/>
        <v>7207.9354175568596</v>
      </c>
      <c r="AI31" s="60">
        <f t="shared" si="30"/>
        <v>-114.73541755685892</v>
      </c>
      <c r="AJ31" s="60">
        <f t="shared" si="31"/>
        <v>114.73541755685892</v>
      </c>
      <c r="AK31" s="60">
        <f t="shared" si="32"/>
        <v>13164.216041946771</v>
      </c>
      <c r="AL31" s="46">
        <f t="shared" si="33"/>
        <v>1.6175409907638147E-2</v>
      </c>
      <c r="AM31" s="68">
        <v>7202.6332410311697</v>
      </c>
      <c r="AN31" s="60">
        <f t="shared" si="34"/>
        <v>-109.43324103116902</v>
      </c>
      <c r="AO31" s="60">
        <f t="shared" si="35"/>
        <v>109.43324103116902</v>
      </c>
      <c r="AP31" s="60">
        <f t="shared" si="36"/>
        <v>11975.634242585935</v>
      </c>
      <c r="AQ31" s="46">
        <f t="shared" si="37"/>
        <v>1.5427908564705493E-2</v>
      </c>
    </row>
    <row r="32" spans="2:43">
      <c r="B32" s="42" t="s">
        <v>111</v>
      </c>
      <c r="C32" s="60">
        <v>6700.3</v>
      </c>
      <c r="D32" s="65">
        <f t="shared" si="1"/>
        <v>6421.166666666667</v>
      </c>
      <c r="E32" s="60">
        <f t="shared" si="2"/>
        <v>279.13333333333321</v>
      </c>
      <c r="F32" s="60">
        <f t="shared" si="3"/>
        <v>279.13333333333321</v>
      </c>
      <c r="G32" s="60">
        <f t="shared" si="4"/>
        <v>77915.417777777708</v>
      </c>
      <c r="H32" s="46">
        <f t="shared" si="5"/>
        <v>4.165982617693733E-2</v>
      </c>
      <c r="I32" s="65">
        <f t="shared" si="6"/>
        <v>7026.4250000000002</v>
      </c>
      <c r="J32" s="60">
        <f t="shared" si="7"/>
        <v>-326.125</v>
      </c>
      <c r="K32" s="60">
        <f t="shared" si="8"/>
        <v>326.125</v>
      </c>
      <c r="L32" s="60">
        <f t="shared" si="9"/>
        <v>106357.515625</v>
      </c>
      <c r="M32" s="46">
        <f t="shared" si="10"/>
        <v>4.8673193737593837E-2</v>
      </c>
      <c r="N32" s="65">
        <f t="shared" si="0"/>
        <v>7026.4250000000002</v>
      </c>
      <c r="O32" s="60">
        <f t="shared" si="11"/>
        <v>-326.125</v>
      </c>
      <c r="P32" s="60">
        <f t="shared" si="12"/>
        <v>326.125</v>
      </c>
      <c r="Q32" s="60">
        <f t="shared" si="13"/>
        <v>106357.515625</v>
      </c>
      <c r="R32" s="46">
        <f t="shared" si="14"/>
        <v>4.8673193737593837E-2</v>
      </c>
      <c r="S32" s="61">
        <f t="shared" si="38"/>
        <v>7125.640840009115</v>
      </c>
      <c r="T32" s="60">
        <f t="shared" si="15"/>
        <v>-425.3408400091148</v>
      </c>
      <c r="U32" s="60">
        <f t="shared" si="16"/>
        <v>425.3408400091148</v>
      </c>
      <c r="V32" s="60">
        <f t="shared" si="17"/>
        <v>180914.83017965939</v>
      </c>
      <c r="W32" s="46">
        <f t="shared" si="18"/>
        <v>6.3480865037254267E-2</v>
      </c>
      <c r="X32" s="61">
        <f t="shared" si="19"/>
        <v>6871.4160263885651</v>
      </c>
      <c r="Y32" s="61">
        <f t="shared" si="20"/>
        <v>-0.12264150943396226</v>
      </c>
      <c r="Z32" s="61">
        <f t="shared" si="21"/>
        <v>7125.4342545391037</v>
      </c>
      <c r="AA32" s="60">
        <f t="shared" si="22"/>
        <v>-425.13425453910349</v>
      </c>
      <c r="AB32" s="60">
        <f t="shared" si="23"/>
        <v>425.13425453910349</v>
      </c>
      <c r="AC32" s="60">
        <f t="shared" si="24"/>
        <v>180739.13438251923</v>
      </c>
      <c r="AD32" s="46">
        <f t="shared" si="25"/>
        <v>6.3450032765563255E-2</v>
      </c>
      <c r="AE32" s="61">
        <f t="shared" si="26"/>
        <v>6980.0076715291034</v>
      </c>
      <c r="AF32" s="61">
        <f t="shared" si="27"/>
        <v>0</v>
      </c>
      <c r="AG32" s="61">
        <f t="shared" si="28"/>
        <v>0.95517813589983325</v>
      </c>
      <c r="AH32" s="61">
        <f t="shared" si="29"/>
        <v>6539.1837362774313</v>
      </c>
      <c r="AI32" s="60">
        <f t="shared" si="30"/>
        <v>161.11626372256887</v>
      </c>
      <c r="AJ32" s="60">
        <f t="shared" si="31"/>
        <v>161.11626372256887</v>
      </c>
      <c r="AK32" s="60">
        <f t="shared" si="32"/>
        <v>25958.450435920364</v>
      </c>
      <c r="AL32" s="46">
        <f t="shared" si="33"/>
        <v>2.4046126848434976E-2</v>
      </c>
      <c r="AM32" s="68">
        <v>6879.1468977192599</v>
      </c>
      <c r="AN32" s="60">
        <f t="shared" si="34"/>
        <v>-178.84689771925969</v>
      </c>
      <c r="AO32" s="60">
        <f t="shared" si="35"/>
        <v>178.84689771925969</v>
      </c>
      <c r="AP32" s="60">
        <f t="shared" si="36"/>
        <v>31986.212823803337</v>
      </c>
      <c r="AQ32" s="46">
        <f t="shared" si="37"/>
        <v>2.6692371642950269E-2</v>
      </c>
    </row>
    <row r="33" spans="2:43">
      <c r="B33" s="42" t="s">
        <v>112</v>
      </c>
      <c r="C33" s="60">
        <v>7181.7</v>
      </c>
      <c r="D33" s="65">
        <f t="shared" si="1"/>
        <v>6968.3666666666659</v>
      </c>
      <c r="E33" s="60">
        <f t="shared" si="2"/>
        <v>213.33333333333394</v>
      </c>
      <c r="F33" s="60">
        <f t="shared" si="3"/>
        <v>213.33333333333394</v>
      </c>
      <c r="G33" s="60">
        <f t="shared" si="4"/>
        <v>45511.111111111371</v>
      </c>
      <c r="H33" s="46">
        <f t="shared" si="5"/>
        <v>2.9705130168808769E-2</v>
      </c>
      <c r="I33" s="65">
        <f t="shared" si="6"/>
        <v>7050.1750000000002</v>
      </c>
      <c r="J33" s="60">
        <f t="shared" si="7"/>
        <v>131.52499999999964</v>
      </c>
      <c r="K33" s="60">
        <f t="shared" si="8"/>
        <v>131.52499999999964</v>
      </c>
      <c r="L33" s="60">
        <f t="shared" si="9"/>
        <v>17298.825624999903</v>
      </c>
      <c r="M33" s="46">
        <f t="shared" si="10"/>
        <v>1.8313908963058834E-2</v>
      </c>
      <c r="N33" s="65">
        <f t="shared" si="0"/>
        <v>7050.1750000000002</v>
      </c>
      <c r="O33" s="60">
        <f t="shared" si="11"/>
        <v>131.52499999999964</v>
      </c>
      <c r="P33" s="60">
        <f t="shared" si="12"/>
        <v>131.52499999999964</v>
      </c>
      <c r="Q33" s="60">
        <f t="shared" si="13"/>
        <v>17298.825624999903</v>
      </c>
      <c r="R33" s="46">
        <f t="shared" si="14"/>
        <v>1.8313908963058834E-2</v>
      </c>
      <c r="S33" s="61">
        <f t="shared" si="38"/>
        <v>6871.4935403320333</v>
      </c>
      <c r="T33" s="60">
        <f t="shared" si="15"/>
        <v>310.20645966796656</v>
      </c>
      <c r="U33" s="60">
        <f t="shared" si="16"/>
        <v>310.20645966796656</v>
      </c>
      <c r="V33" s="60">
        <f t="shared" si="17"/>
        <v>96228.047619733756</v>
      </c>
      <c r="W33" s="46">
        <f t="shared" si="18"/>
        <v>4.3194015298323035E-2</v>
      </c>
      <c r="X33" s="61">
        <f t="shared" si="19"/>
        <v>7056.7617105606059</v>
      </c>
      <c r="Y33" s="61">
        <f t="shared" si="20"/>
        <v>-0.12264150943396226</v>
      </c>
      <c r="Z33" s="61">
        <f t="shared" si="21"/>
        <v>6871.2933848791308</v>
      </c>
      <c r="AA33" s="60">
        <f t="shared" si="22"/>
        <v>310.40661512086899</v>
      </c>
      <c r="AB33" s="60">
        <f t="shared" si="23"/>
        <v>310.40661512086899</v>
      </c>
      <c r="AC33" s="60">
        <f t="shared" si="24"/>
        <v>96352.266710795288</v>
      </c>
      <c r="AD33" s="46">
        <f t="shared" si="25"/>
        <v>4.3221885503553339E-2</v>
      </c>
      <c r="AE33" s="61">
        <f t="shared" si="26"/>
        <v>7051.014957904621</v>
      </c>
      <c r="AF33" s="61">
        <f t="shared" si="27"/>
        <v>0</v>
      </c>
      <c r="AG33" s="61">
        <f t="shared" si="28"/>
        <v>1.0150330107980161</v>
      </c>
      <c r="AH33" s="61">
        <f t="shared" si="29"/>
        <v>7061.7128957932528</v>
      </c>
      <c r="AI33" s="60">
        <f t="shared" si="30"/>
        <v>119.98710420674706</v>
      </c>
      <c r="AJ33" s="60">
        <f t="shared" si="31"/>
        <v>119.98710420674706</v>
      </c>
      <c r="AK33" s="60">
        <f t="shared" si="32"/>
        <v>14396.905175920778</v>
      </c>
      <c r="AL33" s="46">
        <f t="shared" si="33"/>
        <v>1.6707340073624222E-2</v>
      </c>
      <c r="AM33" s="68">
        <v>7075.6809243526804</v>
      </c>
      <c r="AN33" s="60">
        <f t="shared" si="34"/>
        <v>106.01907564731937</v>
      </c>
      <c r="AO33" s="60">
        <f t="shared" si="35"/>
        <v>106.01907564731937</v>
      </c>
      <c r="AP33" s="60">
        <f t="shared" si="36"/>
        <v>11240.044401112027</v>
      </c>
      <c r="AQ33" s="46">
        <f t="shared" si="37"/>
        <v>1.476239269912686E-2</v>
      </c>
    </row>
    <row r="34" spans="2:43">
      <c r="B34" s="42" t="s">
        <v>113</v>
      </c>
      <c r="C34" s="60">
        <v>6987.1</v>
      </c>
      <c r="D34" s="65">
        <f t="shared" si="1"/>
        <v>7214.0333333333328</v>
      </c>
      <c r="E34" s="60">
        <f t="shared" si="2"/>
        <v>-226.93333333333248</v>
      </c>
      <c r="F34" s="60">
        <f t="shared" si="3"/>
        <v>226.93333333333248</v>
      </c>
      <c r="G34" s="60">
        <f t="shared" si="4"/>
        <v>51498.737777777395</v>
      </c>
      <c r="H34" s="46">
        <f t="shared" si="5"/>
        <v>3.2478901594843707E-2</v>
      </c>
      <c r="I34" s="65">
        <f t="shared" si="6"/>
        <v>7074.6500000000005</v>
      </c>
      <c r="J34" s="60">
        <f t="shared" si="7"/>
        <v>-87.550000000000182</v>
      </c>
      <c r="K34" s="60">
        <f t="shared" si="8"/>
        <v>87.550000000000182</v>
      </c>
      <c r="L34" s="60">
        <f t="shared" si="9"/>
        <v>7665.0025000000314</v>
      </c>
      <c r="M34" s="46">
        <f t="shared" si="10"/>
        <v>1.2530234288903862E-2</v>
      </c>
      <c r="N34" s="65">
        <f t="shared" si="0"/>
        <v>7074.6500000000005</v>
      </c>
      <c r="O34" s="60">
        <f t="shared" si="11"/>
        <v>-87.550000000000182</v>
      </c>
      <c r="P34" s="60">
        <f t="shared" si="12"/>
        <v>87.550000000000182</v>
      </c>
      <c r="Q34" s="60">
        <f t="shared" si="13"/>
        <v>7665.0025000000314</v>
      </c>
      <c r="R34" s="46">
        <f t="shared" si="14"/>
        <v>1.2530234288903862E-2</v>
      </c>
      <c r="S34" s="61">
        <f t="shared" si="38"/>
        <v>7056.8463836313313</v>
      </c>
      <c r="T34" s="60">
        <f t="shared" si="15"/>
        <v>-69.7463836313309</v>
      </c>
      <c r="U34" s="60">
        <f t="shared" si="16"/>
        <v>69.7463836313309</v>
      </c>
      <c r="V34" s="60">
        <f t="shared" si="17"/>
        <v>4864.5580296487833</v>
      </c>
      <c r="W34" s="46">
        <f t="shared" si="18"/>
        <v>9.9821647938817103E-3</v>
      </c>
      <c r="X34" s="61">
        <f t="shared" si="19"/>
        <v>7015.0893916986224</v>
      </c>
      <c r="Y34" s="61">
        <f t="shared" si="20"/>
        <v>-0.12264150943396226</v>
      </c>
      <c r="Z34" s="61">
        <f t="shared" si="21"/>
        <v>7056.6390690511716</v>
      </c>
      <c r="AA34" s="60">
        <f t="shared" si="22"/>
        <v>-69.539069051171282</v>
      </c>
      <c r="AB34" s="60">
        <f t="shared" si="23"/>
        <v>69.539069051171282</v>
      </c>
      <c r="AC34" s="60">
        <f t="shared" si="24"/>
        <v>4835.682124503568</v>
      </c>
      <c r="AD34" s="46">
        <f t="shared" si="25"/>
        <v>9.9524937457845571E-3</v>
      </c>
      <c r="AE34" s="61">
        <f t="shared" si="26"/>
        <v>6790.7956341052868</v>
      </c>
      <c r="AF34" s="61">
        <f t="shared" si="27"/>
        <v>0</v>
      </c>
      <c r="AG34" s="61">
        <f t="shared" si="28"/>
        <v>1.0428135759850137</v>
      </c>
      <c r="AH34" s="61">
        <f t="shared" si="29"/>
        <v>7446.0792608833926</v>
      </c>
      <c r="AI34" s="60">
        <f t="shared" si="30"/>
        <v>-458.97926088339227</v>
      </c>
      <c r="AJ34" s="60">
        <f t="shared" si="31"/>
        <v>458.97926088339227</v>
      </c>
      <c r="AK34" s="60">
        <f t="shared" si="32"/>
        <v>210661.96192106506</v>
      </c>
      <c r="AL34" s="46">
        <f t="shared" si="33"/>
        <v>6.5689522245766088E-2</v>
      </c>
      <c r="AM34" s="68">
        <v>7595.5462054745303</v>
      </c>
      <c r="AN34" s="60">
        <f t="shared" si="34"/>
        <v>-608.44620547452996</v>
      </c>
      <c r="AO34" s="60">
        <f t="shared" si="35"/>
        <v>608.44620547452996</v>
      </c>
      <c r="AP34" s="60">
        <f t="shared" si="36"/>
        <v>370206.78495635395</v>
      </c>
      <c r="AQ34" s="46">
        <f t="shared" si="37"/>
        <v>8.7081365011883322E-2</v>
      </c>
    </row>
    <row r="35" spans="2:43">
      <c r="B35" s="42" t="s">
        <v>114</v>
      </c>
      <c r="C35" s="60">
        <v>6572.2000000000007</v>
      </c>
      <c r="D35" s="65">
        <f t="shared" si="1"/>
        <v>6956</v>
      </c>
      <c r="E35" s="60">
        <f t="shared" si="2"/>
        <v>-383.79999999999927</v>
      </c>
      <c r="F35" s="60">
        <f t="shared" si="3"/>
        <v>383.79999999999927</v>
      </c>
      <c r="G35" s="60">
        <f t="shared" si="4"/>
        <v>147302.43999999945</v>
      </c>
      <c r="H35" s="46">
        <f t="shared" si="5"/>
        <v>5.8397492468275344E-2</v>
      </c>
      <c r="I35" s="65">
        <f t="shared" si="6"/>
        <v>6990.5750000000007</v>
      </c>
      <c r="J35" s="60">
        <f t="shared" si="7"/>
        <v>-418.375</v>
      </c>
      <c r="K35" s="60">
        <f t="shared" si="8"/>
        <v>418.375</v>
      </c>
      <c r="L35" s="60">
        <f t="shared" si="9"/>
        <v>175037.640625</v>
      </c>
      <c r="M35" s="46">
        <f t="shared" si="10"/>
        <v>6.3658287940111372E-2</v>
      </c>
      <c r="N35" s="65">
        <f t="shared" si="0"/>
        <v>6990.5750000000007</v>
      </c>
      <c r="O35" s="60">
        <f t="shared" si="11"/>
        <v>-418.375</v>
      </c>
      <c r="P35" s="60">
        <f t="shared" si="12"/>
        <v>418.375</v>
      </c>
      <c r="Q35" s="60">
        <f t="shared" si="13"/>
        <v>175037.640625</v>
      </c>
      <c r="R35" s="46">
        <f t="shared" si="14"/>
        <v>6.3658287940111372E-2</v>
      </c>
      <c r="S35" s="61">
        <f t="shared" si="38"/>
        <v>7015.1719113145773</v>
      </c>
      <c r="T35" s="60">
        <f t="shared" si="15"/>
        <v>-442.97191131457657</v>
      </c>
      <c r="U35" s="60">
        <f t="shared" si="16"/>
        <v>442.97191131457657</v>
      </c>
      <c r="V35" s="60">
        <f t="shared" si="17"/>
        <v>196224.11421368908</v>
      </c>
      <c r="W35" s="46">
        <f t="shared" si="18"/>
        <v>6.740085683858929E-2</v>
      </c>
      <c r="X35" s="61">
        <f t="shared" si="19"/>
        <v>6750.4130846913058</v>
      </c>
      <c r="Y35" s="61">
        <f t="shared" si="20"/>
        <v>-0.12264150943396226</v>
      </c>
      <c r="Z35" s="61">
        <f t="shared" si="21"/>
        <v>7014.9667501891881</v>
      </c>
      <c r="AA35" s="60">
        <f t="shared" si="22"/>
        <v>-442.76675018918741</v>
      </c>
      <c r="AB35" s="60">
        <f t="shared" si="23"/>
        <v>442.76675018918741</v>
      </c>
      <c r="AC35" s="60">
        <f t="shared" si="24"/>
        <v>196042.39507309429</v>
      </c>
      <c r="AD35" s="46">
        <f t="shared" si="25"/>
        <v>6.7369640331880851E-2</v>
      </c>
      <c r="AE35" s="61">
        <f t="shared" si="26"/>
        <v>6528.1795276037446</v>
      </c>
      <c r="AF35" s="61">
        <f t="shared" si="27"/>
        <v>0</v>
      </c>
      <c r="AG35" s="61">
        <f t="shared" si="28"/>
        <v>1.0210462583816367</v>
      </c>
      <c r="AH35" s="61">
        <f t="shared" si="29"/>
        <v>7026.0244094624641</v>
      </c>
      <c r="AI35" s="60">
        <f t="shared" si="30"/>
        <v>-453.82440946246334</v>
      </c>
      <c r="AJ35" s="60">
        <f t="shared" si="31"/>
        <v>453.82440946246334</v>
      </c>
      <c r="AK35" s="60">
        <f t="shared" si="32"/>
        <v>205956.59462395357</v>
      </c>
      <c r="AL35" s="46">
        <f t="shared" si="33"/>
        <v>6.9052130102927989E-2</v>
      </c>
      <c r="AM35" s="68">
        <v>6951.8367008539499</v>
      </c>
      <c r="AN35" s="60">
        <f t="shared" si="34"/>
        <v>-379.63670085394915</v>
      </c>
      <c r="AO35" s="60">
        <f t="shared" si="35"/>
        <v>379.63670085394915</v>
      </c>
      <c r="AP35" s="60">
        <f t="shared" si="36"/>
        <v>144124.02463527088</v>
      </c>
      <c r="AQ35" s="46">
        <f t="shared" si="37"/>
        <v>5.7764021310055855E-2</v>
      </c>
    </row>
    <row r="36" spans="2:43">
      <c r="B36" s="42" t="s">
        <v>115</v>
      </c>
      <c r="C36" s="60">
        <v>5958.9</v>
      </c>
      <c r="D36" s="65">
        <f t="shared" si="1"/>
        <v>6617.4000000000005</v>
      </c>
      <c r="E36" s="60">
        <f t="shared" si="2"/>
        <v>-658.50000000000091</v>
      </c>
      <c r="F36" s="60">
        <f t="shared" si="3"/>
        <v>658.50000000000091</v>
      </c>
      <c r="G36" s="60">
        <f t="shared" si="4"/>
        <v>433622.25000000122</v>
      </c>
      <c r="H36" s="46">
        <f t="shared" si="5"/>
        <v>0.11050697276342965</v>
      </c>
      <c r="I36" s="65">
        <f t="shared" si="6"/>
        <v>6860.3249999999998</v>
      </c>
      <c r="J36" s="60">
        <f t="shared" si="7"/>
        <v>-901.42500000000018</v>
      </c>
      <c r="K36" s="60">
        <f t="shared" si="8"/>
        <v>901.42500000000018</v>
      </c>
      <c r="L36" s="60">
        <f t="shared" si="9"/>
        <v>812567.03062500036</v>
      </c>
      <c r="M36" s="46">
        <f t="shared" si="10"/>
        <v>0.15127372501636213</v>
      </c>
      <c r="N36" s="65">
        <f t="shared" si="0"/>
        <v>6860.3249999999998</v>
      </c>
      <c r="O36" s="60">
        <f t="shared" si="11"/>
        <v>-901.42500000000018</v>
      </c>
      <c r="P36" s="60">
        <f t="shared" si="12"/>
        <v>901.42500000000018</v>
      </c>
      <c r="Q36" s="60">
        <f t="shared" si="13"/>
        <v>812567.03062500036</v>
      </c>
      <c r="R36" s="46">
        <f t="shared" si="14"/>
        <v>0.15127372501636213</v>
      </c>
      <c r="S36" s="61">
        <f t="shared" si="38"/>
        <v>6750.4897916973241</v>
      </c>
      <c r="T36" s="60">
        <f t="shared" si="15"/>
        <v>-791.58979169732447</v>
      </c>
      <c r="U36" s="60">
        <f t="shared" si="16"/>
        <v>791.58979169732447</v>
      </c>
      <c r="V36" s="60">
        <f t="shared" si="17"/>
        <v>626614.39831941354</v>
      </c>
      <c r="W36" s="46">
        <f t="shared" si="18"/>
        <v>0.13284159688823852</v>
      </c>
      <c r="X36" s="61">
        <f t="shared" si="19"/>
        <v>6277.4337020324983</v>
      </c>
      <c r="Y36" s="61">
        <f t="shared" si="20"/>
        <v>-0.12264150943396226</v>
      </c>
      <c r="Z36" s="61">
        <f t="shared" si="21"/>
        <v>6750.2904431818715</v>
      </c>
      <c r="AA36" s="60">
        <f t="shared" si="22"/>
        <v>-791.39044318187189</v>
      </c>
      <c r="AB36" s="60">
        <f t="shared" si="23"/>
        <v>791.39044318187189</v>
      </c>
      <c r="AC36" s="60">
        <f t="shared" si="24"/>
        <v>626298.83355959959</v>
      </c>
      <c r="AD36" s="46">
        <f t="shared" si="25"/>
        <v>0.13280814297636676</v>
      </c>
      <c r="AE36" s="61">
        <f t="shared" si="26"/>
        <v>6354.7563940501932</v>
      </c>
      <c r="AF36" s="61">
        <f t="shared" si="27"/>
        <v>0</v>
      </c>
      <c r="AG36" s="61">
        <f t="shared" si="28"/>
        <v>0.94666494031076187</v>
      </c>
      <c r="AH36" s="61">
        <f t="shared" si="29"/>
        <v>6235.5743519959988</v>
      </c>
      <c r="AI36" s="60">
        <f t="shared" si="30"/>
        <v>-276.67435199599913</v>
      </c>
      <c r="AJ36" s="60">
        <f t="shared" si="31"/>
        <v>276.67435199599913</v>
      </c>
      <c r="AK36" s="60">
        <f t="shared" si="32"/>
        <v>76548.697052406031</v>
      </c>
      <c r="AL36" s="46">
        <f t="shared" si="33"/>
        <v>4.6430440516873776E-2</v>
      </c>
      <c r="AM36" s="68">
        <v>6399.4294313951004</v>
      </c>
      <c r="AN36" s="60">
        <f t="shared" si="34"/>
        <v>-440.5294313951008</v>
      </c>
      <c r="AO36" s="60">
        <f t="shared" si="35"/>
        <v>440.5294313951008</v>
      </c>
      <c r="AP36" s="60">
        <f t="shared" si="36"/>
        <v>194066.17992529081</v>
      </c>
      <c r="AQ36" s="46">
        <f t="shared" si="37"/>
        <v>7.3927978552266502E-2</v>
      </c>
    </row>
    <row r="37" spans="2:43">
      <c r="B37" s="42" t="s">
        <v>116</v>
      </c>
      <c r="C37" s="60">
        <v>6497.7</v>
      </c>
      <c r="D37" s="65">
        <f t="shared" si="1"/>
        <v>7060.4666666666672</v>
      </c>
      <c r="E37" s="60">
        <f t="shared" si="2"/>
        <v>-562.76666666666733</v>
      </c>
      <c r="F37" s="60">
        <f t="shared" si="3"/>
        <v>562.76666666666733</v>
      </c>
      <c r="G37" s="60">
        <f t="shared" si="4"/>
        <v>316706.32111111184</v>
      </c>
      <c r="H37" s="46">
        <f t="shared" si="5"/>
        <v>8.6610133842231457E-2</v>
      </c>
      <c r="I37" s="65">
        <f t="shared" si="6"/>
        <v>6674.9750000000004</v>
      </c>
      <c r="J37" s="60">
        <f t="shared" si="7"/>
        <v>-177.27500000000055</v>
      </c>
      <c r="K37" s="60">
        <f t="shared" si="8"/>
        <v>177.27500000000055</v>
      </c>
      <c r="L37" s="60">
        <f t="shared" si="9"/>
        <v>31426.425625000193</v>
      </c>
      <c r="M37" s="46">
        <f t="shared" si="10"/>
        <v>2.7282730812441411E-2</v>
      </c>
      <c r="N37" s="65">
        <f t="shared" si="0"/>
        <v>6674.9750000000004</v>
      </c>
      <c r="O37" s="60">
        <f t="shared" si="11"/>
        <v>-177.27500000000055</v>
      </c>
      <c r="P37" s="60">
        <f t="shared" si="12"/>
        <v>177.27500000000055</v>
      </c>
      <c r="Q37" s="60">
        <f t="shared" si="13"/>
        <v>31426.425625000193</v>
      </c>
      <c r="R37" s="46">
        <f t="shared" si="14"/>
        <v>2.7282730812441411E-2</v>
      </c>
      <c r="S37" s="61">
        <f t="shared" si="38"/>
        <v>6277.503449714487</v>
      </c>
      <c r="T37" s="60">
        <f t="shared" si="15"/>
        <v>220.19655028551279</v>
      </c>
      <c r="U37" s="60">
        <f t="shared" si="16"/>
        <v>220.19655028551279</v>
      </c>
      <c r="V37" s="60">
        <f t="shared" si="17"/>
        <v>48486.520757640363</v>
      </c>
      <c r="W37" s="46">
        <f t="shared" si="18"/>
        <v>3.3888383625823415E-2</v>
      </c>
      <c r="X37" s="61">
        <f t="shared" si="19"/>
        <v>6408.9937167950211</v>
      </c>
      <c r="Y37" s="61">
        <f t="shared" si="20"/>
        <v>-0.12264150943396226</v>
      </c>
      <c r="Z37" s="61">
        <f t="shared" si="21"/>
        <v>6277.311060523064</v>
      </c>
      <c r="AA37" s="60">
        <f t="shared" si="22"/>
        <v>220.38893947693578</v>
      </c>
      <c r="AB37" s="60">
        <f t="shared" si="23"/>
        <v>220.38893947693578</v>
      </c>
      <c r="AC37" s="60">
        <f t="shared" si="24"/>
        <v>48571.284643768457</v>
      </c>
      <c r="AD37" s="46">
        <f t="shared" si="25"/>
        <v>3.3917992439930406E-2</v>
      </c>
      <c r="AE37" s="61">
        <f t="shared" si="26"/>
        <v>6382.7226963210069</v>
      </c>
      <c r="AF37" s="61">
        <f t="shared" si="27"/>
        <v>0</v>
      </c>
      <c r="AG37" s="61">
        <f t="shared" si="28"/>
        <v>1.016485488097294</v>
      </c>
      <c r="AH37" s="61">
        <f t="shared" si="29"/>
        <v>6450.2875155407119</v>
      </c>
      <c r="AI37" s="60">
        <f t="shared" si="30"/>
        <v>47.412484459287953</v>
      </c>
      <c r="AJ37" s="60">
        <f t="shared" si="31"/>
        <v>47.412484459287953</v>
      </c>
      <c r="AK37" s="60">
        <f t="shared" si="32"/>
        <v>2247.9436826022215</v>
      </c>
      <c r="AL37" s="46">
        <f t="shared" si="33"/>
        <v>7.296810326621413E-3</v>
      </c>
      <c r="AM37" s="68">
        <v>6308.3555250159197</v>
      </c>
      <c r="AN37" s="60">
        <f t="shared" si="34"/>
        <v>189.34447498408008</v>
      </c>
      <c r="AO37" s="60">
        <f t="shared" si="35"/>
        <v>189.34447498408008</v>
      </c>
      <c r="AP37" s="60">
        <f t="shared" si="36"/>
        <v>35851.330206996929</v>
      </c>
      <c r="AQ37" s="46">
        <f t="shared" si="37"/>
        <v>2.9140230386764561E-2</v>
      </c>
    </row>
    <row r="38" spans="2:43">
      <c r="B38" s="42" t="s">
        <v>117</v>
      </c>
      <c r="C38" s="60">
        <v>6615.1</v>
      </c>
      <c r="D38" s="65">
        <f t="shared" si="1"/>
        <v>7154.3</v>
      </c>
      <c r="E38" s="60">
        <f t="shared" si="2"/>
        <v>-539.19999999999982</v>
      </c>
      <c r="F38" s="60">
        <f t="shared" si="3"/>
        <v>539.19999999999982</v>
      </c>
      <c r="G38" s="60">
        <f t="shared" si="4"/>
        <v>290736.63999999978</v>
      </c>
      <c r="H38" s="46">
        <f t="shared" si="5"/>
        <v>8.1510483590573057E-2</v>
      </c>
      <c r="I38" s="65">
        <f t="shared" si="6"/>
        <v>6503.9750000000004</v>
      </c>
      <c r="J38" s="60">
        <f t="shared" si="7"/>
        <v>111.125</v>
      </c>
      <c r="K38" s="60">
        <f t="shared" si="8"/>
        <v>111.125</v>
      </c>
      <c r="L38" s="60">
        <f t="shared" si="9"/>
        <v>12348.765625</v>
      </c>
      <c r="M38" s="46">
        <f t="shared" si="10"/>
        <v>1.67986878505238E-2</v>
      </c>
      <c r="N38" s="65">
        <f t="shared" si="0"/>
        <v>6503.9750000000004</v>
      </c>
      <c r="O38" s="60">
        <f t="shared" si="11"/>
        <v>111.125</v>
      </c>
      <c r="P38" s="60">
        <f t="shared" si="12"/>
        <v>111.125</v>
      </c>
      <c r="Q38" s="60">
        <f t="shared" si="13"/>
        <v>12348.765625</v>
      </c>
      <c r="R38" s="46">
        <f t="shared" si="14"/>
        <v>1.67986878505238E-2</v>
      </c>
      <c r="S38" s="61">
        <f t="shared" si="38"/>
        <v>6409.0740711767303</v>
      </c>
      <c r="T38" s="60">
        <f t="shared" si="15"/>
        <v>206.02592882327008</v>
      </c>
      <c r="U38" s="60">
        <f t="shared" si="16"/>
        <v>206.02592882327008</v>
      </c>
      <c r="V38" s="60">
        <f t="shared" si="17"/>
        <v>42446.683347491147</v>
      </c>
      <c r="W38" s="46">
        <f t="shared" si="18"/>
        <v>3.1144794307458704E-2</v>
      </c>
      <c r="X38" s="61">
        <f t="shared" si="19"/>
        <v>6532.0931057148655</v>
      </c>
      <c r="Y38" s="61">
        <f t="shared" si="20"/>
        <v>-0.12264150943396226</v>
      </c>
      <c r="Z38" s="61">
        <f t="shared" si="21"/>
        <v>6408.8710752855868</v>
      </c>
      <c r="AA38" s="60">
        <f t="shared" si="22"/>
        <v>206.22892471441355</v>
      </c>
      <c r="AB38" s="60">
        <f t="shared" si="23"/>
        <v>206.22892471441355</v>
      </c>
      <c r="AC38" s="60">
        <f t="shared" si="24"/>
        <v>42530.369388863255</v>
      </c>
      <c r="AD38" s="46">
        <f t="shared" si="25"/>
        <v>3.1175481053107822E-2</v>
      </c>
      <c r="AE38" s="61">
        <f t="shared" si="26"/>
        <v>6359.246287998938</v>
      </c>
      <c r="AF38" s="61">
        <f t="shared" si="27"/>
        <v>0</v>
      </c>
      <c r="AG38" s="61">
        <f t="shared" si="28"/>
        <v>1.0415562936840792</v>
      </c>
      <c r="AH38" s="61">
        <f t="shared" si="29"/>
        <v>6655.989879471218</v>
      </c>
      <c r="AI38" s="60">
        <f t="shared" si="30"/>
        <v>-40.889879471217682</v>
      </c>
      <c r="AJ38" s="60">
        <f t="shared" si="31"/>
        <v>40.889879471217682</v>
      </c>
      <c r="AK38" s="60">
        <f t="shared" si="32"/>
        <v>1671.9822431707094</v>
      </c>
      <c r="AL38" s="46">
        <f t="shared" si="33"/>
        <v>6.181294231563798E-3</v>
      </c>
      <c r="AM38" s="68">
        <v>6787.3023590691</v>
      </c>
      <c r="AN38" s="60">
        <f t="shared" si="34"/>
        <v>-172.20235906909966</v>
      </c>
      <c r="AO38" s="60">
        <f t="shared" si="35"/>
        <v>172.20235906909966</v>
      </c>
      <c r="AP38" s="60">
        <f t="shared" si="36"/>
        <v>29653.65246896313</v>
      </c>
      <c r="AQ38" s="46">
        <f t="shared" si="37"/>
        <v>2.6031709130489283E-2</v>
      </c>
    </row>
    <row r="39" spans="2:43">
      <c r="B39" s="42" t="s">
        <v>118</v>
      </c>
      <c r="C39" s="60">
        <v>6341.3000000000029</v>
      </c>
      <c r="D39" s="65">
        <f t="shared" si="1"/>
        <v>6872.5</v>
      </c>
      <c r="E39" s="60">
        <f t="shared" si="2"/>
        <v>-531.19999999999709</v>
      </c>
      <c r="F39" s="60">
        <f t="shared" si="3"/>
        <v>531.19999999999709</v>
      </c>
      <c r="G39" s="60">
        <f t="shared" si="4"/>
        <v>282173.43999999692</v>
      </c>
      <c r="H39" s="46">
        <f t="shared" si="5"/>
        <v>8.3768312491129079E-2</v>
      </c>
      <c r="I39" s="65">
        <f t="shared" si="6"/>
        <v>6410.9750000000004</v>
      </c>
      <c r="J39" s="60">
        <f t="shared" si="7"/>
        <v>-69.674999999997453</v>
      </c>
      <c r="K39" s="60">
        <f t="shared" si="8"/>
        <v>69.674999999997453</v>
      </c>
      <c r="L39" s="60">
        <f t="shared" si="9"/>
        <v>4854.6056249996454</v>
      </c>
      <c r="M39" s="46">
        <f t="shared" si="10"/>
        <v>1.0987494677747059E-2</v>
      </c>
      <c r="N39" s="65">
        <f t="shared" si="0"/>
        <v>6410.9750000000004</v>
      </c>
      <c r="O39" s="60">
        <f t="shared" si="11"/>
        <v>-69.674999999997453</v>
      </c>
      <c r="P39" s="60">
        <f t="shared" si="12"/>
        <v>69.674999999997453</v>
      </c>
      <c r="Q39" s="60">
        <f t="shared" si="13"/>
        <v>4854.6056249996454</v>
      </c>
      <c r="R39" s="46">
        <f t="shared" si="14"/>
        <v>1.0987494677747059E-2</v>
      </c>
      <c r="S39" s="61">
        <f t="shared" si="38"/>
        <v>6532.1775414966141</v>
      </c>
      <c r="T39" s="60">
        <f t="shared" si="15"/>
        <v>-190.87754149661123</v>
      </c>
      <c r="U39" s="60">
        <f t="shared" si="16"/>
        <v>190.87754149661123</v>
      </c>
      <c r="V39" s="60">
        <f t="shared" si="17"/>
        <v>36434.235847790544</v>
      </c>
      <c r="W39" s="46">
        <f t="shared" si="18"/>
        <v>3.0100695677008051E-2</v>
      </c>
      <c r="X39" s="61">
        <f t="shared" si="19"/>
        <v>6418.0446326334459</v>
      </c>
      <c r="Y39" s="61">
        <f t="shared" si="20"/>
        <v>-0.12264150943396226</v>
      </c>
      <c r="Z39" s="61">
        <f t="shared" si="21"/>
        <v>6531.9704642054312</v>
      </c>
      <c r="AA39" s="60">
        <f t="shared" si="22"/>
        <v>-190.67046420542829</v>
      </c>
      <c r="AB39" s="60">
        <f t="shared" si="23"/>
        <v>190.67046420542829</v>
      </c>
      <c r="AC39" s="60">
        <f t="shared" si="24"/>
        <v>36355.225920313511</v>
      </c>
      <c r="AD39" s="46">
        <f t="shared" si="25"/>
        <v>3.0068040339587813E-2</v>
      </c>
      <c r="AE39" s="61">
        <f t="shared" si="26"/>
        <v>6270.2432411067211</v>
      </c>
      <c r="AF39" s="61">
        <f t="shared" si="27"/>
        <v>0</v>
      </c>
      <c r="AG39" s="61">
        <f t="shared" si="28"/>
        <v>1.0163129367071717</v>
      </c>
      <c r="AH39" s="61">
        <f t="shared" si="29"/>
        <v>6493.0846284886275</v>
      </c>
      <c r="AI39" s="60">
        <f t="shared" si="30"/>
        <v>-151.78462848862455</v>
      </c>
      <c r="AJ39" s="60">
        <f t="shared" si="31"/>
        <v>151.78462848862455</v>
      </c>
      <c r="AK39" s="60">
        <f t="shared" si="32"/>
        <v>23038.573445429774</v>
      </c>
      <c r="AL39" s="46">
        <f t="shared" si="33"/>
        <v>2.3935885147938825E-2</v>
      </c>
      <c r="AM39" s="68">
        <v>6457.6937140603304</v>
      </c>
      <c r="AN39" s="60">
        <f t="shared" si="34"/>
        <v>-116.39371406032751</v>
      </c>
      <c r="AO39" s="60">
        <f t="shared" si="35"/>
        <v>116.39371406032751</v>
      </c>
      <c r="AP39" s="60">
        <f t="shared" si="36"/>
        <v>13547.496672757283</v>
      </c>
      <c r="AQ39" s="46">
        <f t="shared" si="37"/>
        <v>1.8354866361838654E-2</v>
      </c>
    </row>
    <row r="40" spans="2:43">
      <c r="B40" s="42" t="s">
        <v>119</v>
      </c>
      <c r="C40" s="60">
        <v>5903.9</v>
      </c>
      <c r="D40" s="65">
        <f t="shared" si="1"/>
        <v>6421.5</v>
      </c>
      <c r="E40" s="60">
        <f t="shared" si="2"/>
        <v>-517.60000000000036</v>
      </c>
      <c r="F40" s="60">
        <f t="shared" si="3"/>
        <v>517.60000000000036</v>
      </c>
      <c r="G40" s="60">
        <f t="shared" si="4"/>
        <v>267909.76000000036</v>
      </c>
      <c r="H40" s="46">
        <f t="shared" si="5"/>
        <v>8.7670861633835334E-2</v>
      </c>
      <c r="I40" s="65">
        <f t="shared" si="6"/>
        <v>6353.25</v>
      </c>
      <c r="J40" s="60">
        <f t="shared" si="7"/>
        <v>-449.35000000000036</v>
      </c>
      <c r="K40" s="60">
        <f t="shared" si="8"/>
        <v>449.35000000000036</v>
      </c>
      <c r="L40" s="60">
        <f t="shared" si="9"/>
        <v>201915.42250000034</v>
      </c>
      <c r="M40" s="46">
        <f t="shared" si="10"/>
        <v>7.6110706482155926E-2</v>
      </c>
      <c r="N40" s="65">
        <f t="shared" si="0"/>
        <v>6353.25</v>
      </c>
      <c r="O40" s="60">
        <f t="shared" si="11"/>
        <v>-449.35000000000036</v>
      </c>
      <c r="P40" s="60">
        <f t="shared" si="12"/>
        <v>449.35000000000036</v>
      </c>
      <c r="Q40" s="60">
        <f t="shared" si="13"/>
        <v>201915.42250000034</v>
      </c>
      <c r="R40" s="46">
        <f t="shared" si="14"/>
        <v>7.6110706482155926E-2</v>
      </c>
      <c r="S40" s="61">
        <f t="shared" si="38"/>
        <v>6418.1254515554647</v>
      </c>
      <c r="T40" s="60">
        <f t="shared" si="15"/>
        <v>-514.22545155546504</v>
      </c>
      <c r="U40" s="60">
        <f t="shared" si="16"/>
        <v>514.22545155546504</v>
      </c>
      <c r="V40" s="60">
        <f t="shared" si="17"/>
        <v>264427.81502742192</v>
      </c>
      <c r="W40" s="46">
        <f t="shared" si="18"/>
        <v>8.709928209411831E-2</v>
      </c>
      <c r="X40" s="61">
        <f t="shared" si="19"/>
        <v>6110.7932335100477</v>
      </c>
      <c r="Y40" s="61">
        <f t="shared" si="20"/>
        <v>-0.12264150943396226</v>
      </c>
      <c r="Z40" s="61">
        <f t="shared" si="21"/>
        <v>6417.9219911240116</v>
      </c>
      <c r="AA40" s="60">
        <f t="shared" si="22"/>
        <v>-514.02199112401195</v>
      </c>
      <c r="AB40" s="60">
        <f t="shared" si="23"/>
        <v>514.02199112401195</v>
      </c>
      <c r="AC40" s="60">
        <f t="shared" si="24"/>
        <v>264218.60735909379</v>
      </c>
      <c r="AD40" s="46">
        <f t="shared" si="25"/>
        <v>8.706482005521976E-2</v>
      </c>
      <c r="AE40" s="61">
        <f t="shared" si="26"/>
        <v>6250.0557885374274</v>
      </c>
      <c r="AF40" s="61">
        <f t="shared" si="27"/>
        <v>0</v>
      </c>
      <c r="AG40" s="61">
        <f t="shared" si="28"/>
        <v>0.94566633462417782</v>
      </c>
      <c r="AH40" s="61">
        <f t="shared" si="29"/>
        <v>5935.8194435762525</v>
      </c>
      <c r="AI40" s="60">
        <f t="shared" si="30"/>
        <v>-31.919443576252888</v>
      </c>
      <c r="AJ40" s="60">
        <f t="shared" si="31"/>
        <v>31.919443576252888</v>
      </c>
      <c r="AK40" s="60">
        <f t="shared" si="32"/>
        <v>1018.8508782175918</v>
      </c>
      <c r="AL40" s="46">
        <f t="shared" si="33"/>
        <v>5.4065013933591172E-3</v>
      </c>
      <c r="AM40" s="68">
        <v>6104.37956019803</v>
      </c>
      <c r="AN40" s="60">
        <f t="shared" si="34"/>
        <v>-200.47956019803041</v>
      </c>
      <c r="AO40" s="60">
        <f t="shared" si="35"/>
        <v>200.47956019803041</v>
      </c>
      <c r="AP40" s="60">
        <f t="shared" si="36"/>
        <v>40192.054057195703</v>
      </c>
      <c r="AQ40" s="46">
        <f t="shared" si="37"/>
        <v>3.3957140229006325E-2</v>
      </c>
    </row>
    <row r="41" spans="2:43">
      <c r="B41" s="42" t="s">
        <v>120</v>
      </c>
      <c r="C41" s="60">
        <v>6265</v>
      </c>
      <c r="D41" s="65">
        <f t="shared" si="1"/>
        <v>6921.0666666666666</v>
      </c>
      <c r="E41" s="60">
        <f t="shared" si="2"/>
        <v>-656.06666666666661</v>
      </c>
      <c r="F41" s="60">
        <f t="shared" si="3"/>
        <v>656.06666666666661</v>
      </c>
      <c r="G41" s="60">
        <f t="shared" si="4"/>
        <v>430423.47111111105</v>
      </c>
      <c r="H41" s="46">
        <f t="shared" si="5"/>
        <v>0.1047193402500665</v>
      </c>
      <c r="I41" s="65">
        <f t="shared" si="6"/>
        <v>6339.5</v>
      </c>
      <c r="J41" s="60">
        <f t="shared" si="7"/>
        <v>-74.5</v>
      </c>
      <c r="K41" s="60">
        <f t="shared" si="8"/>
        <v>74.5</v>
      </c>
      <c r="L41" s="60">
        <f t="shared" si="9"/>
        <v>5550.25</v>
      </c>
      <c r="M41" s="46">
        <f t="shared" si="10"/>
        <v>1.1891460494812451E-2</v>
      </c>
      <c r="N41" s="65">
        <f t="shared" si="0"/>
        <v>6339.5</v>
      </c>
      <c r="O41" s="60">
        <f t="shared" si="11"/>
        <v>-74.5</v>
      </c>
      <c r="P41" s="60">
        <f t="shared" si="12"/>
        <v>74.5</v>
      </c>
      <c r="Q41" s="60">
        <f t="shared" si="13"/>
        <v>5550.25</v>
      </c>
      <c r="R41" s="46">
        <f t="shared" si="14"/>
        <v>1.1891460494812451E-2</v>
      </c>
      <c r="S41" s="61">
        <f t="shared" si="38"/>
        <v>6110.8683117631781</v>
      </c>
      <c r="T41" s="60">
        <f t="shared" si="15"/>
        <v>154.1316882368219</v>
      </c>
      <c r="U41" s="60">
        <f t="shared" si="16"/>
        <v>154.1316882368219</v>
      </c>
      <c r="V41" s="60">
        <f t="shared" si="17"/>
        <v>23756.577318732863</v>
      </c>
      <c r="W41" s="46">
        <f t="shared" si="18"/>
        <v>2.4602025257274045E-2</v>
      </c>
      <c r="X41" s="61">
        <f t="shared" si="19"/>
        <v>6202.8825988030903</v>
      </c>
      <c r="Y41" s="61">
        <f t="shared" si="20"/>
        <v>-0.12264150943396226</v>
      </c>
      <c r="Z41" s="61">
        <f t="shared" si="21"/>
        <v>6110.6705920006134</v>
      </c>
      <c r="AA41" s="60">
        <f t="shared" si="22"/>
        <v>154.3294079993866</v>
      </c>
      <c r="AB41" s="60">
        <f t="shared" si="23"/>
        <v>154.3294079993866</v>
      </c>
      <c r="AC41" s="60">
        <f t="shared" si="24"/>
        <v>23817.566173441133</v>
      </c>
      <c r="AD41" s="46">
        <f t="shared" si="25"/>
        <v>2.4633584676677828E-2</v>
      </c>
      <c r="AE41" s="61">
        <f t="shared" si="26"/>
        <v>6198.1694647492604</v>
      </c>
      <c r="AF41" s="61">
        <f t="shared" si="27"/>
        <v>0</v>
      </c>
      <c r="AG41" s="61">
        <f t="shared" si="28"/>
        <v>1.0137064739721393</v>
      </c>
      <c r="AH41" s="61">
        <f t="shared" si="29"/>
        <v>6353.0910088467845</v>
      </c>
      <c r="AI41" s="60">
        <f t="shared" si="30"/>
        <v>-88.091008846784462</v>
      </c>
      <c r="AJ41" s="60">
        <f t="shared" si="31"/>
        <v>88.091008846784462</v>
      </c>
      <c r="AK41" s="60">
        <f t="shared" si="32"/>
        <v>7760.0258396442587</v>
      </c>
      <c r="AL41" s="46">
        <f t="shared" si="33"/>
        <v>1.4060815458385389E-2</v>
      </c>
      <c r="AM41" s="68">
        <v>6206.2656122075396</v>
      </c>
      <c r="AN41" s="60">
        <f t="shared" si="34"/>
        <v>58.734387792460439</v>
      </c>
      <c r="AO41" s="60">
        <f t="shared" si="35"/>
        <v>58.734387792460439</v>
      </c>
      <c r="AP41" s="60">
        <f t="shared" si="36"/>
        <v>3449.7283093551259</v>
      </c>
      <c r="AQ41" s="46">
        <f t="shared" si="37"/>
        <v>9.3750020418931265E-3</v>
      </c>
    </row>
    <row r="42" spans="2:43">
      <c r="B42" s="42" t="s">
        <v>121</v>
      </c>
      <c r="C42" s="60">
        <v>6424.1</v>
      </c>
      <c r="D42" s="65">
        <f t="shared" si="1"/>
        <v>6975.2</v>
      </c>
      <c r="E42" s="60">
        <f t="shared" si="2"/>
        <v>-551.09999999999945</v>
      </c>
      <c r="F42" s="60">
        <f t="shared" si="3"/>
        <v>551.09999999999945</v>
      </c>
      <c r="G42" s="60">
        <f t="shared" si="4"/>
        <v>303711.20999999938</v>
      </c>
      <c r="H42" s="46">
        <f t="shared" si="5"/>
        <v>8.5786335829143287E-2</v>
      </c>
      <c r="I42" s="65">
        <f t="shared" si="6"/>
        <v>6281.3250000000007</v>
      </c>
      <c r="J42" s="60">
        <f t="shared" si="7"/>
        <v>142.77499999999964</v>
      </c>
      <c r="K42" s="60">
        <f t="shared" si="8"/>
        <v>142.77499999999964</v>
      </c>
      <c r="L42" s="60">
        <f t="shared" si="9"/>
        <v>20384.700624999896</v>
      </c>
      <c r="M42" s="46">
        <f t="shared" si="10"/>
        <v>2.2224903099266766E-2</v>
      </c>
      <c r="N42" s="65">
        <f t="shared" si="0"/>
        <v>6281.3250000000007</v>
      </c>
      <c r="O42" s="60">
        <f t="shared" si="11"/>
        <v>142.77499999999964</v>
      </c>
      <c r="P42" s="60">
        <f t="shared" si="12"/>
        <v>142.77499999999964</v>
      </c>
      <c r="Q42" s="60">
        <f t="shared" si="13"/>
        <v>20384.700624999896</v>
      </c>
      <c r="R42" s="46">
        <f t="shared" si="14"/>
        <v>2.2224903099266766E-2</v>
      </c>
      <c r="S42" s="61">
        <f t="shared" si="38"/>
        <v>6202.9642232661008</v>
      </c>
      <c r="T42" s="60">
        <f t="shared" si="15"/>
        <v>221.13577673389955</v>
      </c>
      <c r="U42" s="60">
        <f t="shared" si="16"/>
        <v>221.13577673389955</v>
      </c>
      <c r="V42" s="60">
        <f t="shared" si="17"/>
        <v>48901.031751705072</v>
      </c>
      <c r="W42" s="46">
        <f t="shared" si="18"/>
        <v>3.4422841601765154E-2</v>
      </c>
      <c r="X42" s="61">
        <f t="shared" si="19"/>
        <v>6335.0108988885277</v>
      </c>
      <c r="Y42" s="61">
        <f t="shared" si="20"/>
        <v>-0.12264150943396226</v>
      </c>
      <c r="Z42" s="61">
        <f t="shared" si="21"/>
        <v>6202.759957293656</v>
      </c>
      <c r="AA42" s="60">
        <f t="shared" si="22"/>
        <v>221.34004270634432</v>
      </c>
      <c r="AB42" s="60">
        <f t="shared" si="23"/>
        <v>221.34004270634432</v>
      </c>
      <c r="AC42" s="60">
        <f t="shared" si="24"/>
        <v>48991.414505246328</v>
      </c>
      <c r="AD42" s="46">
        <f t="shared" si="25"/>
        <v>3.4454638425046979E-2</v>
      </c>
      <c r="AE42" s="61">
        <f t="shared" si="26"/>
        <v>6179.9804414309065</v>
      </c>
      <c r="AF42" s="61">
        <f t="shared" si="27"/>
        <v>0</v>
      </c>
      <c r="AG42" s="61">
        <f t="shared" si="28"/>
        <v>1.0405551298732811</v>
      </c>
      <c r="AH42" s="61">
        <f t="shared" si="29"/>
        <v>6455.7424153300726</v>
      </c>
      <c r="AI42" s="60">
        <f t="shared" si="30"/>
        <v>-31.642415330072254</v>
      </c>
      <c r="AJ42" s="60">
        <f t="shared" si="31"/>
        <v>31.642415330072254</v>
      </c>
      <c r="AK42" s="60">
        <f t="shared" si="32"/>
        <v>1001.2424479207916</v>
      </c>
      <c r="AL42" s="46">
        <f t="shared" si="33"/>
        <v>4.9255795099815156E-3</v>
      </c>
      <c r="AM42" s="68">
        <v>6581.57158597138</v>
      </c>
      <c r="AN42" s="60">
        <f t="shared" si="34"/>
        <v>-157.47158597137968</v>
      </c>
      <c r="AO42" s="60">
        <f t="shared" si="35"/>
        <v>157.47158597137968</v>
      </c>
      <c r="AP42" s="60">
        <f t="shared" si="36"/>
        <v>24797.30038834162</v>
      </c>
      <c r="AQ42" s="46">
        <f t="shared" si="37"/>
        <v>2.4512629935925605E-2</v>
      </c>
    </row>
    <row r="43" spans="2:43">
      <c r="B43" s="42" t="s">
        <v>122</v>
      </c>
      <c r="C43" s="60">
        <v>6028.9000000000015</v>
      </c>
      <c r="D43" s="65">
        <f t="shared" si="1"/>
        <v>6668.9000000000015</v>
      </c>
      <c r="E43" s="60">
        <f t="shared" si="2"/>
        <v>-640</v>
      </c>
      <c r="F43" s="60">
        <f t="shared" si="3"/>
        <v>640</v>
      </c>
      <c r="G43" s="60">
        <f t="shared" si="4"/>
        <v>409600</v>
      </c>
      <c r="H43" s="46">
        <f t="shared" si="5"/>
        <v>0.10615535172253643</v>
      </c>
      <c r="I43" s="65">
        <f t="shared" si="6"/>
        <v>6233.5750000000007</v>
      </c>
      <c r="J43" s="60">
        <f t="shared" si="7"/>
        <v>-204.67499999999927</v>
      </c>
      <c r="K43" s="60">
        <f t="shared" si="8"/>
        <v>204.67499999999927</v>
      </c>
      <c r="L43" s="60">
        <f t="shared" si="9"/>
        <v>41891.855624999705</v>
      </c>
      <c r="M43" s="46">
        <f t="shared" si="10"/>
        <v>3.3948979084078228E-2</v>
      </c>
      <c r="N43" s="65">
        <f t="shared" si="0"/>
        <v>6233.5750000000007</v>
      </c>
      <c r="O43" s="60">
        <f t="shared" si="11"/>
        <v>-204.67499999999927</v>
      </c>
      <c r="P43" s="60">
        <f t="shared" si="12"/>
        <v>204.67499999999927</v>
      </c>
      <c r="Q43" s="60">
        <f t="shared" si="13"/>
        <v>41891.855624999705</v>
      </c>
      <c r="R43" s="46">
        <f t="shared" si="14"/>
        <v>3.3948979084078228E-2</v>
      </c>
      <c r="S43" s="61">
        <f t="shared" si="38"/>
        <v>6335.0960461066024</v>
      </c>
      <c r="T43" s="60">
        <f t="shared" si="15"/>
        <v>-306.19604610660099</v>
      </c>
      <c r="U43" s="60">
        <f t="shared" si="16"/>
        <v>306.19604610660099</v>
      </c>
      <c r="V43" s="60">
        <f t="shared" si="17"/>
        <v>93756.018651315724</v>
      </c>
      <c r="W43" s="46">
        <f t="shared" si="18"/>
        <v>5.0788045266400322E-2</v>
      </c>
      <c r="X43" s="61">
        <f t="shared" si="19"/>
        <v>6152.0599057597374</v>
      </c>
      <c r="Y43" s="61">
        <f t="shared" si="20"/>
        <v>-0.12264150943396226</v>
      </c>
      <c r="Z43" s="61">
        <f t="shared" si="21"/>
        <v>6334.8882573790934</v>
      </c>
      <c r="AA43" s="60">
        <f t="shared" si="22"/>
        <v>-305.98825737909192</v>
      </c>
      <c r="AB43" s="60">
        <f t="shared" si="23"/>
        <v>305.98825737909192</v>
      </c>
      <c r="AC43" s="60">
        <f t="shared" si="24"/>
        <v>93628.813653893405</v>
      </c>
      <c r="AD43" s="46">
        <f t="shared" si="25"/>
        <v>5.0753579820380472E-2</v>
      </c>
      <c r="AE43" s="61">
        <f t="shared" si="26"/>
        <v>6031.5875857442834</v>
      </c>
      <c r="AF43" s="61">
        <f t="shared" si="27"/>
        <v>0</v>
      </c>
      <c r="AG43" s="61">
        <f t="shared" si="28"/>
        <v>1.0081469452035625</v>
      </c>
      <c r="AH43" s="61">
        <f t="shared" si="29"/>
        <v>6280.7940712235277</v>
      </c>
      <c r="AI43" s="60">
        <f t="shared" si="30"/>
        <v>-251.89407122352623</v>
      </c>
      <c r="AJ43" s="60">
        <f t="shared" si="31"/>
        <v>251.89407122352623</v>
      </c>
      <c r="AK43" s="60">
        <f t="shared" si="32"/>
        <v>63450.6231175629</v>
      </c>
      <c r="AL43" s="46">
        <f t="shared" si="33"/>
        <v>4.1781099574304793E-2</v>
      </c>
      <c r="AM43" s="68">
        <v>6257.25654680138</v>
      </c>
      <c r="AN43" s="60">
        <f t="shared" si="34"/>
        <v>-228.3565468013785</v>
      </c>
      <c r="AO43" s="60">
        <f t="shared" si="35"/>
        <v>228.3565468013785</v>
      </c>
      <c r="AP43" s="60">
        <f t="shared" si="36"/>
        <v>52146.712467050173</v>
      </c>
      <c r="AQ43" s="46">
        <f t="shared" si="37"/>
        <v>3.7876983662256537E-2</v>
      </c>
    </row>
    <row r="44" spans="2:43">
      <c r="B44" s="42" t="s">
        <v>123</v>
      </c>
      <c r="C44" s="60">
        <v>5675.9</v>
      </c>
      <c r="D44" s="65">
        <f t="shared" si="1"/>
        <v>6187.7</v>
      </c>
      <c r="E44" s="60">
        <f t="shared" si="2"/>
        <v>-511.80000000000018</v>
      </c>
      <c r="F44" s="60">
        <f t="shared" si="3"/>
        <v>511.80000000000018</v>
      </c>
      <c r="G44" s="60">
        <f t="shared" si="4"/>
        <v>261939.24000000019</v>
      </c>
      <c r="H44" s="46">
        <f t="shared" si="5"/>
        <v>9.017072182385176E-2</v>
      </c>
      <c r="I44" s="65">
        <f t="shared" si="6"/>
        <v>6155.4750000000004</v>
      </c>
      <c r="J44" s="60">
        <f t="shared" si="7"/>
        <v>-479.57500000000073</v>
      </c>
      <c r="K44" s="60">
        <f t="shared" si="8"/>
        <v>479.57500000000073</v>
      </c>
      <c r="L44" s="60">
        <f t="shared" si="9"/>
        <v>229992.18062500071</v>
      </c>
      <c r="M44" s="46">
        <f t="shared" si="10"/>
        <v>8.4493208125583738E-2</v>
      </c>
      <c r="N44" s="65">
        <f t="shared" si="0"/>
        <v>6155.4750000000004</v>
      </c>
      <c r="O44" s="60">
        <f t="shared" si="11"/>
        <v>-479.57500000000073</v>
      </c>
      <c r="P44" s="60">
        <f t="shared" si="12"/>
        <v>479.57500000000073</v>
      </c>
      <c r="Q44" s="60">
        <f t="shared" si="13"/>
        <v>229992.18062500071</v>
      </c>
      <c r="R44" s="46">
        <f t="shared" si="14"/>
        <v>8.4493208125583738E-2</v>
      </c>
      <c r="S44" s="61">
        <f t="shared" si="38"/>
        <v>6152.1394828757493</v>
      </c>
      <c r="T44" s="60">
        <f t="shared" si="15"/>
        <v>-476.23948287574967</v>
      </c>
      <c r="U44" s="60">
        <f t="shared" si="16"/>
        <v>476.23948287574967</v>
      </c>
      <c r="V44" s="60">
        <f t="shared" si="17"/>
        <v>226804.04504976145</v>
      </c>
      <c r="W44" s="46">
        <f t="shared" si="18"/>
        <v>8.3905545001805831E-2</v>
      </c>
      <c r="X44" s="61">
        <f t="shared" si="19"/>
        <v>5867.5044266056721</v>
      </c>
      <c r="Y44" s="61">
        <f t="shared" si="20"/>
        <v>-0.12264150943396226</v>
      </c>
      <c r="Z44" s="61">
        <f t="shared" si="21"/>
        <v>6151.9372642503031</v>
      </c>
      <c r="AA44" s="60">
        <f t="shared" si="22"/>
        <v>-476.03726425030345</v>
      </c>
      <c r="AB44" s="60">
        <f t="shared" si="23"/>
        <v>476.03726425030345</v>
      </c>
      <c r="AC44" s="60">
        <f t="shared" si="24"/>
        <v>226611.47695491323</v>
      </c>
      <c r="AD44" s="46">
        <f t="shared" si="25"/>
        <v>8.3869917414031867E-2</v>
      </c>
      <c r="AE44" s="61">
        <f t="shared" si="26"/>
        <v>6013.879706790678</v>
      </c>
      <c r="AF44" s="61">
        <f t="shared" si="27"/>
        <v>0</v>
      </c>
      <c r="AG44" s="61">
        <f t="shared" si="28"/>
        <v>0.94475694529796439</v>
      </c>
      <c r="AH44" s="61">
        <f t="shared" si="29"/>
        <v>5703.86932417549</v>
      </c>
      <c r="AI44" s="60">
        <f t="shared" si="30"/>
        <v>-27.969324175490328</v>
      </c>
      <c r="AJ44" s="60">
        <f t="shared" si="31"/>
        <v>27.969324175490328</v>
      </c>
      <c r="AK44" s="60">
        <f t="shared" si="32"/>
        <v>782.28309483366775</v>
      </c>
      <c r="AL44" s="46">
        <f t="shared" si="33"/>
        <v>4.9277337823940394E-3</v>
      </c>
      <c r="AM44" s="68">
        <v>5807.7956937892704</v>
      </c>
      <c r="AN44" s="60">
        <f t="shared" si="34"/>
        <v>-131.89569378927081</v>
      </c>
      <c r="AO44" s="60">
        <f t="shared" si="35"/>
        <v>131.89569378927081</v>
      </c>
      <c r="AP44" s="60">
        <f t="shared" si="36"/>
        <v>17396.474040153091</v>
      </c>
      <c r="AQ44" s="46">
        <f t="shared" si="37"/>
        <v>2.32378466479802E-2</v>
      </c>
    </row>
    <row r="45" spans="2:43">
      <c r="B45" s="42" t="s">
        <v>124</v>
      </c>
      <c r="C45" s="60">
        <v>6049.7</v>
      </c>
      <c r="D45" s="65">
        <f t="shared" si="1"/>
        <v>6648.1333333333341</v>
      </c>
      <c r="E45" s="60">
        <f t="shared" si="2"/>
        <v>-598.4333333333343</v>
      </c>
      <c r="F45" s="60">
        <f t="shared" si="3"/>
        <v>598.4333333333343</v>
      </c>
      <c r="G45" s="60">
        <f t="shared" si="4"/>
        <v>358122.45444444561</v>
      </c>
      <c r="H45" s="46">
        <f t="shared" si="5"/>
        <v>9.8919505650418085E-2</v>
      </c>
      <c r="I45" s="65">
        <f t="shared" si="6"/>
        <v>6098.4750000000004</v>
      </c>
      <c r="J45" s="60">
        <f t="shared" si="7"/>
        <v>-48.775000000000546</v>
      </c>
      <c r="K45" s="60">
        <f t="shared" si="8"/>
        <v>48.775000000000546</v>
      </c>
      <c r="L45" s="60">
        <f t="shared" si="9"/>
        <v>2379.0006250000533</v>
      </c>
      <c r="M45" s="46">
        <f t="shared" si="10"/>
        <v>8.0623832586740746E-3</v>
      </c>
      <c r="N45" s="65">
        <f t="shared" si="0"/>
        <v>6098.4750000000004</v>
      </c>
      <c r="O45" s="60">
        <f t="shared" si="11"/>
        <v>-48.775000000000546</v>
      </c>
      <c r="P45" s="60">
        <f t="shared" si="12"/>
        <v>48.775000000000546</v>
      </c>
      <c r="Q45" s="60">
        <f t="shared" si="13"/>
        <v>2379.0006250000533</v>
      </c>
      <c r="R45" s="46">
        <f t="shared" si="14"/>
        <v>8.0623832586740746E-3</v>
      </c>
      <c r="S45" s="61">
        <f t="shared" si="38"/>
        <v>5867.5795084094188</v>
      </c>
      <c r="T45" s="60">
        <f t="shared" si="15"/>
        <v>182.12049159058097</v>
      </c>
      <c r="U45" s="60">
        <f t="shared" si="16"/>
        <v>182.12049159058097</v>
      </c>
      <c r="V45" s="60">
        <f t="shared" si="17"/>
        <v>33167.873457194873</v>
      </c>
      <c r="W45" s="46">
        <f t="shared" si="18"/>
        <v>3.0104053356460811E-2</v>
      </c>
      <c r="X45" s="61">
        <f t="shared" si="19"/>
        <v>5976.317137670052</v>
      </c>
      <c r="Y45" s="61">
        <f t="shared" si="20"/>
        <v>-0.12264150943396226</v>
      </c>
      <c r="Z45" s="61">
        <f t="shared" si="21"/>
        <v>5867.3817850962378</v>
      </c>
      <c r="AA45" s="60">
        <f t="shared" si="22"/>
        <v>182.31821490376205</v>
      </c>
      <c r="AB45" s="60">
        <f t="shared" si="23"/>
        <v>182.31821490376205</v>
      </c>
      <c r="AC45" s="60">
        <f t="shared" si="24"/>
        <v>33239.931485694367</v>
      </c>
      <c r="AD45" s="46">
        <f t="shared" si="25"/>
        <v>3.0136736516482149E-2</v>
      </c>
      <c r="AE45" s="61">
        <f t="shared" si="26"/>
        <v>5986.3514866979731</v>
      </c>
      <c r="AF45" s="61">
        <f t="shared" si="27"/>
        <v>0</v>
      </c>
      <c r="AG45" s="61">
        <f t="shared" si="28"/>
        <v>1.0121840757946567</v>
      </c>
      <c r="AH45" s="61">
        <f t="shared" si="29"/>
        <v>6096.308792463381</v>
      </c>
      <c r="AI45" s="60">
        <f t="shared" si="30"/>
        <v>-46.608792463381178</v>
      </c>
      <c r="AJ45" s="60">
        <f t="shared" si="31"/>
        <v>46.608792463381178</v>
      </c>
      <c r="AK45" s="60">
        <f t="shared" si="32"/>
        <v>2172.3795348945382</v>
      </c>
      <c r="AL45" s="46">
        <f t="shared" si="33"/>
        <v>7.7043146707078333E-3</v>
      </c>
      <c r="AM45" s="68">
        <v>5933.7863595811496</v>
      </c>
      <c r="AN45" s="60">
        <f t="shared" si="34"/>
        <v>115.91364041885026</v>
      </c>
      <c r="AO45" s="60">
        <f t="shared" si="35"/>
        <v>115.91364041885026</v>
      </c>
      <c r="AP45" s="60">
        <f t="shared" si="36"/>
        <v>13435.972035150518</v>
      </c>
      <c r="AQ45" s="46">
        <f t="shared" si="37"/>
        <v>1.9160229502099321E-2</v>
      </c>
    </row>
    <row r="46" spans="2:43">
      <c r="B46" s="42" t="s">
        <v>125</v>
      </c>
      <c r="C46" s="60">
        <v>5754.6</v>
      </c>
      <c r="D46" s="65">
        <f t="shared" si="1"/>
        <v>6675.4333333333343</v>
      </c>
      <c r="E46" s="60">
        <f t="shared" si="2"/>
        <v>-920.83333333333394</v>
      </c>
      <c r="F46" s="60">
        <f t="shared" si="3"/>
        <v>920.83333333333394</v>
      </c>
      <c r="G46" s="60">
        <f t="shared" si="4"/>
        <v>847934.02777777892</v>
      </c>
      <c r="H46" s="46">
        <f t="shared" si="5"/>
        <v>0.16001691400502796</v>
      </c>
      <c r="I46" s="65">
        <f t="shared" si="6"/>
        <v>6044.6500000000005</v>
      </c>
      <c r="J46" s="60">
        <f t="shared" si="7"/>
        <v>-290.05000000000018</v>
      </c>
      <c r="K46" s="60">
        <f t="shared" si="8"/>
        <v>290.05000000000018</v>
      </c>
      <c r="L46" s="60">
        <f t="shared" si="9"/>
        <v>84129.002500000104</v>
      </c>
      <c r="M46" s="46">
        <f t="shared" si="10"/>
        <v>5.0403155736280569E-2</v>
      </c>
      <c r="N46" s="65">
        <f t="shared" si="0"/>
        <v>6044.6500000000005</v>
      </c>
      <c r="O46" s="60">
        <f t="shared" si="11"/>
        <v>-290.05000000000018</v>
      </c>
      <c r="P46" s="60">
        <f t="shared" si="12"/>
        <v>290.05000000000018</v>
      </c>
      <c r="Q46" s="60">
        <f t="shared" si="13"/>
        <v>84129.002500000104</v>
      </c>
      <c r="R46" s="46">
        <f t="shared" si="14"/>
        <v>5.0403155736280569E-2</v>
      </c>
      <c r="S46" s="61">
        <f t="shared" si="38"/>
        <v>5976.3991344594751</v>
      </c>
      <c r="T46" s="60">
        <f t="shared" si="15"/>
        <v>-221.79913445947477</v>
      </c>
      <c r="U46" s="60">
        <f t="shared" si="16"/>
        <v>221.79913445947477</v>
      </c>
      <c r="V46" s="60">
        <f t="shared" si="17"/>
        <v>49194.856046972171</v>
      </c>
      <c r="W46" s="46">
        <f t="shared" si="18"/>
        <v>3.8542928172153539E-2</v>
      </c>
      <c r="X46" s="61">
        <f t="shared" si="19"/>
        <v>5843.7915183209334</v>
      </c>
      <c r="Y46" s="61">
        <f t="shared" si="20"/>
        <v>-0.12264150943396226</v>
      </c>
      <c r="Z46" s="61">
        <f t="shared" si="21"/>
        <v>5976.1944961606177</v>
      </c>
      <c r="AA46" s="60">
        <f t="shared" si="22"/>
        <v>-221.59449616061738</v>
      </c>
      <c r="AB46" s="60">
        <f t="shared" si="23"/>
        <v>221.59449616061738</v>
      </c>
      <c r="AC46" s="60">
        <f t="shared" si="24"/>
        <v>49104.120728677874</v>
      </c>
      <c r="AD46" s="46">
        <f t="shared" si="25"/>
        <v>3.8507367351443604E-2</v>
      </c>
      <c r="AE46" s="61">
        <f t="shared" si="26"/>
        <v>5713.3154729787757</v>
      </c>
      <c r="AF46" s="61">
        <f t="shared" si="27"/>
        <v>0</v>
      </c>
      <c r="AG46" s="61">
        <f t="shared" si="28"/>
        <v>1.0243147217028585</v>
      </c>
      <c r="AH46" s="61">
        <f t="shared" si="29"/>
        <v>6229.128748708119</v>
      </c>
      <c r="AI46" s="60">
        <f t="shared" si="30"/>
        <v>-474.52874870811866</v>
      </c>
      <c r="AJ46" s="60">
        <f t="shared" si="31"/>
        <v>474.52874870811866</v>
      </c>
      <c r="AK46" s="60">
        <f t="shared" si="32"/>
        <v>225177.53335049283</v>
      </c>
      <c r="AL46" s="46">
        <f t="shared" si="33"/>
        <v>8.246077028952814E-2</v>
      </c>
      <c r="AM46" s="68">
        <v>6338.94703209822</v>
      </c>
      <c r="AN46" s="60">
        <f t="shared" si="34"/>
        <v>-584.34703209821964</v>
      </c>
      <c r="AO46" s="60">
        <f t="shared" si="35"/>
        <v>584.34703209821964</v>
      </c>
      <c r="AP46" s="60">
        <f t="shared" si="36"/>
        <v>341461.45392199775</v>
      </c>
      <c r="AQ46" s="46">
        <f t="shared" si="37"/>
        <v>0.10154433533142522</v>
      </c>
    </row>
    <row r="47" spans="2:43">
      <c r="B47" s="42" t="s">
        <v>126</v>
      </c>
      <c r="C47" s="60">
        <v>5340.2000000000044</v>
      </c>
      <c r="D47" s="65">
        <f t="shared" si="1"/>
        <v>6314.133333333335</v>
      </c>
      <c r="E47" s="60">
        <f t="shared" si="2"/>
        <v>-973.93333333333067</v>
      </c>
      <c r="F47" s="60">
        <f t="shared" si="3"/>
        <v>973.93333333333067</v>
      </c>
      <c r="G47" s="60">
        <f t="shared" si="4"/>
        <v>948546.13777777262</v>
      </c>
      <c r="H47" s="46">
        <f t="shared" si="5"/>
        <v>0.18237768872576493</v>
      </c>
      <c r="I47" s="65">
        <f t="shared" si="6"/>
        <v>5877.2749999999996</v>
      </c>
      <c r="J47" s="60">
        <f t="shared" si="7"/>
        <v>-537.07499999999527</v>
      </c>
      <c r="K47" s="60">
        <f t="shared" si="8"/>
        <v>537.07499999999527</v>
      </c>
      <c r="L47" s="60">
        <f t="shared" si="9"/>
        <v>288449.55562499491</v>
      </c>
      <c r="M47" s="46">
        <f t="shared" si="10"/>
        <v>0.10057207595221056</v>
      </c>
      <c r="N47" s="65">
        <f t="shared" si="0"/>
        <v>5877.2749999999996</v>
      </c>
      <c r="O47" s="60">
        <f t="shared" si="11"/>
        <v>-537.07499999999527</v>
      </c>
      <c r="P47" s="60">
        <f t="shared" si="12"/>
        <v>537.07499999999527</v>
      </c>
      <c r="Q47" s="60">
        <f t="shared" si="13"/>
        <v>288449.55562499491</v>
      </c>
      <c r="R47" s="46">
        <f t="shared" si="14"/>
        <v>0.10057207595221056</v>
      </c>
      <c r="S47" s="61">
        <f t="shared" si="38"/>
        <v>5843.8709457899331</v>
      </c>
      <c r="T47" s="60">
        <f t="shared" si="15"/>
        <v>-503.67094578992874</v>
      </c>
      <c r="U47" s="60">
        <f t="shared" si="16"/>
        <v>503.67094578992874</v>
      </c>
      <c r="V47" s="60">
        <f t="shared" si="17"/>
        <v>253684.42163292132</v>
      </c>
      <c r="W47" s="46">
        <f t="shared" si="18"/>
        <v>9.4316869366302444E-2</v>
      </c>
      <c r="X47" s="61">
        <f t="shared" si="19"/>
        <v>5542.8456176853997</v>
      </c>
      <c r="Y47" s="61">
        <f t="shared" si="20"/>
        <v>-0.12264150943396226</v>
      </c>
      <c r="Z47" s="61">
        <f t="shared" si="21"/>
        <v>5843.6688768114991</v>
      </c>
      <c r="AA47" s="60">
        <f t="shared" si="22"/>
        <v>-503.46887681149474</v>
      </c>
      <c r="AB47" s="60">
        <f t="shared" si="23"/>
        <v>503.46887681149474</v>
      </c>
      <c r="AC47" s="60">
        <f t="shared" si="24"/>
        <v>253480.90991782807</v>
      </c>
      <c r="AD47" s="46">
        <f t="shared" si="25"/>
        <v>9.4279030150835982E-2</v>
      </c>
      <c r="AE47" s="61">
        <f t="shared" si="26"/>
        <v>5464.0868986559417</v>
      </c>
      <c r="AF47" s="61">
        <f t="shared" si="27"/>
        <v>0</v>
      </c>
      <c r="AG47" s="61">
        <f t="shared" si="28"/>
        <v>0.99312921872361448</v>
      </c>
      <c r="AH47" s="61">
        <f t="shared" si="29"/>
        <v>5759.8615410677994</v>
      </c>
      <c r="AI47" s="60">
        <f t="shared" si="30"/>
        <v>-419.66154106779504</v>
      </c>
      <c r="AJ47" s="60">
        <f t="shared" si="31"/>
        <v>419.66154106779504</v>
      </c>
      <c r="AK47" s="60">
        <f t="shared" si="32"/>
        <v>176115.80905139662</v>
      </c>
      <c r="AL47" s="46">
        <f t="shared" si="33"/>
        <v>7.8585360298826762E-2</v>
      </c>
      <c r="AM47" s="68">
        <v>5694.1764412503398</v>
      </c>
      <c r="AN47" s="60">
        <f t="shared" si="34"/>
        <v>-353.97644125033548</v>
      </c>
      <c r="AO47" s="60">
        <f t="shared" si="35"/>
        <v>353.97644125033548</v>
      </c>
      <c r="AP47" s="60">
        <f t="shared" si="36"/>
        <v>125299.32096025221</v>
      </c>
      <c r="AQ47" s="46">
        <f t="shared" si="37"/>
        <v>6.6285240487310437E-2</v>
      </c>
    </row>
    <row r="48" spans="2:43">
      <c r="B48" s="42" t="s">
        <v>127</v>
      </c>
      <c r="C48" s="60">
        <v>5138.8999999999996</v>
      </c>
      <c r="D48" s="65">
        <f t="shared" si="1"/>
        <v>5846.2333333333327</v>
      </c>
      <c r="E48" s="60">
        <f t="shared" si="2"/>
        <v>-707.33333333333303</v>
      </c>
      <c r="F48" s="60">
        <f t="shared" si="3"/>
        <v>707.33333333333303</v>
      </c>
      <c r="G48" s="60">
        <f t="shared" si="4"/>
        <v>500320.44444444403</v>
      </c>
      <c r="H48" s="46">
        <f t="shared" si="5"/>
        <v>0.13764294563687424</v>
      </c>
      <c r="I48" s="65">
        <f t="shared" si="6"/>
        <v>5705.1</v>
      </c>
      <c r="J48" s="60">
        <f t="shared" si="7"/>
        <v>-566.20000000000073</v>
      </c>
      <c r="K48" s="60">
        <f t="shared" si="8"/>
        <v>566.20000000000073</v>
      </c>
      <c r="L48" s="60">
        <f t="shared" si="9"/>
        <v>320582.44000000082</v>
      </c>
      <c r="M48" s="46">
        <f t="shared" si="10"/>
        <v>0.1101792212341164</v>
      </c>
      <c r="N48" s="65">
        <f t="shared" ref="N48:N67" si="39">D48*$N$2+I48*(1-$N$2)</f>
        <v>5705.1</v>
      </c>
      <c r="O48" s="60">
        <f t="shared" si="11"/>
        <v>-566.20000000000073</v>
      </c>
      <c r="P48" s="60">
        <f t="shared" si="12"/>
        <v>566.20000000000073</v>
      </c>
      <c r="Q48" s="60">
        <f t="shared" si="13"/>
        <v>320582.44000000082</v>
      </c>
      <c r="R48" s="46">
        <f t="shared" si="14"/>
        <v>0.1101792212341164</v>
      </c>
      <c r="S48" s="61">
        <f t="shared" si="38"/>
        <v>5542.9202757447783</v>
      </c>
      <c r="T48" s="60">
        <f t="shared" si="15"/>
        <v>-404.0202757447787</v>
      </c>
      <c r="U48" s="60">
        <f t="shared" si="16"/>
        <v>404.0202757447787</v>
      </c>
      <c r="V48" s="60">
        <f t="shared" si="17"/>
        <v>163232.38321288701</v>
      </c>
      <c r="W48" s="46">
        <f t="shared" si="18"/>
        <v>7.8619991777380133E-2</v>
      </c>
      <c r="X48" s="61">
        <f t="shared" si="19"/>
        <v>5301.4382624661666</v>
      </c>
      <c r="Y48" s="61">
        <f t="shared" si="20"/>
        <v>-0.12264150943396226</v>
      </c>
      <c r="Z48" s="61">
        <f t="shared" si="21"/>
        <v>5542.7229761759654</v>
      </c>
      <c r="AA48" s="60">
        <f t="shared" si="22"/>
        <v>-403.82297617596578</v>
      </c>
      <c r="AB48" s="60">
        <f t="shared" si="23"/>
        <v>403.82297617596578</v>
      </c>
      <c r="AC48" s="60">
        <f t="shared" si="24"/>
        <v>163072.99608761462</v>
      </c>
      <c r="AD48" s="46">
        <f t="shared" si="25"/>
        <v>7.8581598430785923E-2</v>
      </c>
      <c r="AE48" s="61">
        <f t="shared" si="26"/>
        <v>5449.2994762209146</v>
      </c>
      <c r="AF48" s="61">
        <f t="shared" si="27"/>
        <v>0</v>
      </c>
      <c r="AG48" s="61">
        <f t="shared" si="28"/>
        <v>0.94391966280016304</v>
      </c>
      <c r="AH48" s="61">
        <f t="shared" si="29"/>
        <v>5162.2340472168153</v>
      </c>
      <c r="AI48" s="60">
        <f t="shared" si="30"/>
        <v>-23.334047216815634</v>
      </c>
      <c r="AJ48" s="60">
        <f t="shared" si="31"/>
        <v>23.334047216815634</v>
      </c>
      <c r="AK48" s="60">
        <f t="shared" si="32"/>
        <v>544.47775951658139</v>
      </c>
      <c r="AL48" s="46">
        <f t="shared" si="33"/>
        <v>4.5406696407432785E-3</v>
      </c>
      <c r="AM48" s="68">
        <v>5153.2761092102201</v>
      </c>
      <c r="AN48" s="60">
        <f t="shared" si="34"/>
        <v>-14.37610921022042</v>
      </c>
      <c r="AO48" s="60">
        <f t="shared" si="35"/>
        <v>14.37610921022042</v>
      </c>
      <c r="AP48" s="60">
        <f t="shared" si="36"/>
        <v>206.6725160241844</v>
      </c>
      <c r="AQ48" s="46">
        <f t="shared" si="37"/>
        <v>2.7975070949464711E-3</v>
      </c>
    </row>
    <row r="49" spans="2:43">
      <c r="B49" s="42" t="s">
        <v>128</v>
      </c>
      <c r="C49" s="60">
        <v>5353.9</v>
      </c>
      <c r="D49" s="65">
        <f t="shared" si="1"/>
        <v>6270.8</v>
      </c>
      <c r="E49" s="60">
        <f t="shared" si="2"/>
        <v>-916.90000000000055</v>
      </c>
      <c r="F49" s="60">
        <f t="shared" si="3"/>
        <v>916.90000000000055</v>
      </c>
      <c r="G49" s="60">
        <f t="shared" si="4"/>
        <v>840705.61000000103</v>
      </c>
      <c r="H49" s="46">
        <f t="shared" si="5"/>
        <v>0.17125833504548099</v>
      </c>
      <c r="I49" s="65">
        <f t="shared" si="6"/>
        <v>5570.85</v>
      </c>
      <c r="J49" s="60">
        <f t="shared" si="7"/>
        <v>-216.95000000000073</v>
      </c>
      <c r="K49" s="60">
        <f t="shared" si="8"/>
        <v>216.95000000000073</v>
      </c>
      <c r="L49" s="60">
        <f t="shared" si="9"/>
        <v>47067.302500000318</v>
      </c>
      <c r="M49" s="46">
        <f t="shared" si="10"/>
        <v>4.0521862567474316E-2</v>
      </c>
      <c r="N49" s="65">
        <f t="shared" si="39"/>
        <v>5570.85</v>
      </c>
      <c r="O49" s="60">
        <f t="shared" si="11"/>
        <v>-216.95000000000073</v>
      </c>
      <c r="P49" s="60">
        <f t="shared" si="12"/>
        <v>216.95000000000073</v>
      </c>
      <c r="Q49" s="60">
        <f t="shared" si="13"/>
        <v>47067.302500000318</v>
      </c>
      <c r="R49" s="46">
        <f t="shared" si="14"/>
        <v>4.0521862567474316E-2</v>
      </c>
      <c r="S49" s="61">
        <f t="shared" si="38"/>
        <v>5301.512321377817</v>
      </c>
      <c r="T49" s="60">
        <f t="shared" si="15"/>
        <v>52.387678622182648</v>
      </c>
      <c r="U49" s="60">
        <f t="shared" si="16"/>
        <v>52.387678622182648</v>
      </c>
      <c r="V49" s="60">
        <f t="shared" si="17"/>
        <v>2744.4688714210929</v>
      </c>
      <c r="W49" s="46">
        <f t="shared" si="18"/>
        <v>9.7849565031439979E-3</v>
      </c>
      <c r="X49" s="61">
        <f t="shared" si="19"/>
        <v>5332.7348506479466</v>
      </c>
      <c r="Y49" s="61">
        <f t="shared" si="20"/>
        <v>-0.12264150943396226</v>
      </c>
      <c r="Z49" s="61">
        <f t="shared" si="21"/>
        <v>5301.3156209567323</v>
      </c>
      <c r="AA49" s="60">
        <f t="shared" si="22"/>
        <v>52.58437904326729</v>
      </c>
      <c r="AB49" s="60">
        <f t="shared" si="23"/>
        <v>52.58437904326729</v>
      </c>
      <c r="AC49" s="60">
        <f t="shared" si="24"/>
        <v>2765.116919366008</v>
      </c>
      <c r="AD49" s="46">
        <f t="shared" si="25"/>
        <v>9.8216961548156095E-3</v>
      </c>
      <c r="AE49" s="61">
        <f t="shared" si="26"/>
        <v>5353.5964158534916</v>
      </c>
      <c r="AF49" s="61">
        <f t="shared" si="27"/>
        <v>0</v>
      </c>
      <c r="AG49" s="61">
        <f t="shared" si="28"/>
        <v>1.0062747244258494</v>
      </c>
      <c r="AH49" s="61">
        <f t="shared" si="29"/>
        <v>5515.6941540669732</v>
      </c>
      <c r="AI49" s="60">
        <f t="shared" si="30"/>
        <v>-161.79415406697353</v>
      </c>
      <c r="AJ49" s="60">
        <f t="shared" si="31"/>
        <v>161.79415406697353</v>
      </c>
      <c r="AK49" s="60">
        <f t="shared" si="32"/>
        <v>26177.34829024757</v>
      </c>
      <c r="AL49" s="46">
        <f t="shared" si="33"/>
        <v>3.0219868519578915E-2</v>
      </c>
      <c r="AM49" s="68">
        <v>5321.3256492902701</v>
      </c>
      <c r="AN49" s="60">
        <f t="shared" si="34"/>
        <v>32.574350709729515</v>
      </c>
      <c r="AO49" s="60">
        <f t="shared" si="35"/>
        <v>32.574350709729515</v>
      </c>
      <c r="AP49" s="60">
        <f t="shared" si="36"/>
        <v>1061.0883241604558</v>
      </c>
      <c r="AQ49" s="46">
        <f t="shared" si="37"/>
        <v>6.0842284521058516E-3</v>
      </c>
    </row>
    <row r="50" spans="2:43">
      <c r="B50" s="42" t="s">
        <v>129</v>
      </c>
      <c r="C50" s="60">
        <v>5369.4</v>
      </c>
      <c r="D50" s="65">
        <f t="shared" si="1"/>
        <v>6264.6000000000013</v>
      </c>
      <c r="E50" s="60">
        <f t="shared" si="2"/>
        <v>-895.20000000000164</v>
      </c>
      <c r="F50" s="60">
        <f t="shared" si="3"/>
        <v>895.20000000000164</v>
      </c>
      <c r="G50" s="60">
        <f t="shared" si="4"/>
        <v>801383.04000000295</v>
      </c>
      <c r="H50" s="46">
        <f t="shared" si="5"/>
        <v>0.16672253883115465</v>
      </c>
      <c r="I50" s="65">
        <f t="shared" si="6"/>
        <v>5396.9000000000015</v>
      </c>
      <c r="J50" s="60">
        <f t="shared" si="7"/>
        <v>-27.500000000001819</v>
      </c>
      <c r="K50" s="60">
        <f t="shared" si="8"/>
        <v>27.500000000001819</v>
      </c>
      <c r="L50" s="60">
        <f t="shared" si="9"/>
        <v>756.25000000010004</v>
      </c>
      <c r="M50" s="46">
        <f t="shared" si="10"/>
        <v>5.1216150780351291E-3</v>
      </c>
      <c r="N50" s="65">
        <f t="shared" si="39"/>
        <v>5396.9000000000015</v>
      </c>
      <c r="O50" s="60">
        <f t="shared" si="11"/>
        <v>-27.500000000001819</v>
      </c>
      <c r="P50" s="60">
        <f t="shared" si="12"/>
        <v>27.500000000001819</v>
      </c>
      <c r="Q50" s="60">
        <f t="shared" si="13"/>
        <v>756.25000000010004</v>
      </c>
      <c r="R50" s="46">
        <f t="shared" si="14"/>
        <v>5.1216150780351291E-3</v>
      </c>
      <c r="S50" s="61">
        <f t="shared" si="38"/>
        <v>5332.8147165531618</v>
      </c>
      <c r="T50" s="60">
        <f t="shared" si="15"/>
        <v>36.585283446837821</v>
      </c>
      <c r="U50" s="60">
        <f t="shared" si="16"/>
        <v>36.585283446837821</v>
      </c>
      <c r="V50" s="60">
        <f t="shared" si="17"/>
        <v>1338.4829648854654</v>
      </c>
      <c r="W50" s="46">
        <f t="shared" si="18"/>
        <v>6.8136632485636802E-3</v>
      </c>
      <c r="X50" s="61">
        <f t="shared" si="19"/>
        <v>5354.5929584016794</v>
      </c>
      <c r="Y50" s="61">
        <f t="shared" si="20"/>
        <v>-0.12264150943396226</v>
      </c>
      <c r="Z50" s="61">
        <f t="shared" si="21"/>
        <v>5332.6122091385123</v>
      </c>
      <c r="AA50" s="60">
        <f t="shared" si="22"/>
        <v>36.787790861487338</v>
      </c>
      <c r="AB50" s="60">
        <f t="shared" si="23"/>
        <v>36.787790861487338</v>
      </c>
      <c r="AC50" s="60">
        <f t="shared" si="24"/>
        <v>1353.3415564685313</v>
      </c>
      <c r="AD50" s="46">
        <f t="shared" si="25"/>
        <v>6.8513783405012366E-3</v>
      </c>
      <c r="AE50" s="61">
        <f t="shared" si="26"/>
        <v>5286.7478368069314</v>
      </c>
      <c r="AF50" s="61">
        <f t="shared" si="27"/>
        <v>0</v>
      </c>
      <c r="AG50" s="61">
        <f t="shared" si="28"/>
        <v>1.0200847533846038</v>
      </c>
      <c r="AH50" s="61">
        <f t="shared" si="29"/>
        <v>5483.7676228143901</v>
      </c>
      <c r="AI50" s="60">
        <f t="shared" si="30"/>
        <v>-114.36762281439042</v>
      </c>
      <c r="AJ50" s="60">
        <f t="shared" si="31"/>
        <v>114.36762281439042</v>
      </c>
      <c r="AK50" s="60">
        <f t="shared" si="32"/>
        <v>13079.953148214676</v>
      </c>
      <c r="AL50" s="46">
        <f t="shared" si="33"/>
        <v>2.1299888779824642E-2</v>
      </c>
      <c r="AM50" s="68">
        <v>5592.9846926407699</v>
      </c>
      <c r="AN50" s="60">
        <f t="shared" si="34"/>
        <v>-223.5846926407703</v>
      </c>
      <c r="AO50" s="60">
        <f t="shared" si="35"/>
        <v>223.5846926407703</v>
      </c>
      <c r="AP50" s="60">
        <f t="shared" si="36"/>
        <v>49990.114783267723</v>
      </c>
      <c r="AQ50" s="46">
        <f t="shared" si="37"/>
        <v>4.1640535747154303E-2</v>
      </c>
    </row>
    <row r="51" spans="2:43">
      <c r="B51" s="42" t="s">
        <v>130</v>
      </c>
      <c r="C51" s="60">
        <v>5163.0000000000018</v>
      </c>
      <c r="D51" s="65">
        <f t="shared" si="1"/>
        <v>5903.4666666666699</v>
      </c>
      <c r="E51" s="60">
        <f t="shared" si="2"/>
        <v>-740.46666666666806</v>
      </c>
      <c r="F51" s="60">
        <f t="shared" si="3"/>
        <v>740.46666666666806</v>
      </c>
      <c r="G51" s="60">
        <f t="shared" si="4"/>
        <v>548290.88444444654</v>
      </c>
      <c r="H51" s="46">
        <f t="shared" si="5"/>
        <v>0.14341790948415026</v>
      </c>
      <c r="I51" s="65">
        <f t="shared" si="6"/>
        <v>5300.6</v>
      </c>
      <c r="J51" s="60">
        <f t="shared" si="7"/>
        <v>-137.59999999999854</v>
      </c>
      <c r="K51" s="60">
        <f t="shared" si="8"/>
        <v>137.59999999999854</v>
      </c>
      <c r="L51" s="60">
        <f t="shared" si="9"/>
        <v>18933.759999999598</v>
      </c>
      <c r="M51" s="46">
        <f t="shared" si="10"/>
        <v>2.6651171799341178E-2</v>
      </c>
      <c r="N51" s="65">
        <f t="shared" si="39"/>
        <v>5300.6</v>
      </c>
      <c r="O51" s="60">
        <f t="shared" si="11"/>
        <v>-137.59999999999854</v>
      </c>
      <c r="P51" s="60">
        <f t="shared" si="12"/>
        <v>137.59999999999854</v>
      </c>
      <c r="Q51" s="60">
        <f t="shared" si="13"/>
        <v>18933.759999999598</v>
      </c>
      <c r="R51" s="46">
        <f t="shared" si="14"/>
        <v>2.6651171799341178E-2</v>
      </c>
      <c r="S51" s="61">
        <f t="shared" si="38"/>
        <v>5354.6749522073151</v>
      </c>
      <c r="T51" s="60">
        <f t="shared" si="15"/>
        <v>-191.67495220731325</v>
      </c>
      <c r="U51" s="60">
        <f t="shared" si="16"/>
        <v>191.67495220731325</v>
      </c>
      <c r="V51" s="60">
        <f t="shared" si="17"/>
        <v>36739.287303675817</v>
      </c>
      <c r="W51" s="46">
        <f t="shared" si="18"/>
        <v>3.7124724425201081E-2</v>
      </c>
      <c r="X51" s="61">
        <f t="shared" si="19"/>
        <v>5240.0665723783659</v>
      </c>
      <c r="Y51" s="61">
        <f t="shared" si="20"/>
        <v>-0.12264150943396226</v>
      </c>
      <c r="Z51" s="61">
        <f t="shared" si="21"/>
        <v>5354.4703168922451</v>
      </c>
      <c r="AA51" s="60">
        <f t="shared" si="22"/>
        <v>-191.47031689224332</v>
      </c>
      <c r="AB51" s="60">
        <f t="shared" si="23"/>
        <v>191.47031689224332</v>
      </c>
      <c r="AC51" s="60">
        <f t="shared" si="24"/>
        <v>36660.882250816074</v>
      </c>
      <c r="AD51" s="46">
        <f t="shared" si="25"/>
        <v>3.7085089461987845E-2</v>
      </c>
      <c r="AE51" s="61">
        <f t="shared" si="26"/>
        <v>5234.0435226276677</v>
      </c>
      <c r="AF51" s="61">
        <f t="shared" si="27"/>
        <v>0</v>
      </c>
      <c r="AG51" s="61">
        <f t="shared" si="28"/>
        <v>0.98986322976411123</v>
      </c>
      <c r="AH51" s="61">
        <f t="shared" si="29"/>
        <v>5250.4237487568271</v>
      </c>
      <c r="AI51" s="60">
        <f t="shared" si="30"/>
        <v>-87.423748756825262</v>
      </c>
      <c r="AJ51" s="60">
        <f t="shared" si="31"/>
        <v>87.423748756825262</v>
      </c>
      <c r="AK51" s="60">
        <f t="shared" si="32"/>
        <v>7642.9118466965065</v>
      </c>
      <c r="AL51" s="46">
        <f t="shared" si="33"/>
        <v>1.6932742350731209E-2</v>
      </c>
      <c r="AM51" s="68">
        <v>5238.1137900715003</v>
      </c>
      <c r="AN51" s="60">
        <f t="shared" si="34"/>
        <v>-75.113790071498443</v>
      </c>
      <c r="AO51" s="60">
        <f t="shared" si="35"/>
        <v>75.113790071498443</v>
      </c>
      <c r="AP51" s="60">
        <f t="shared" si="36"/>
        <v>5642.0814589051379</v>
      </c>
      <c r="AQ51" s="46">
        <f t="shared" si="37"/>
        <v>1.454847764313353E-2</v>
      </c>
    </row>
    <row r="52" spans="2:43">
      <c r="B52" s="42" t="s">
        <v>131</v>
      </c>
      <c r="C52" s="60">
        <v>4955.6000000000004</v>
      </c>
      <c r="D52" s="65">
        <f t="shared" si="1"/>
        <v>5572.8999999999987</v>
      </c>
      <c r="E52" s="60">
        <f t="shared" si="2"/>
        <v>-617.29999999999836</v>
      </c>
      <c r="F52" s="60">
        <f t="shared" si="3"/>
        <v>617.29999999999836</v>
      </c>
      <c r="G52" s="60">
        <f t="shared" si="4"/>
        <v>381059.289999998</v>
      </c>
      <c r="H52" s="46">
        <f t="shared" si="5"/>
        <v>0.12456614738881232</v>
      </c>
      <c r="I52" s="65">
        <f t="shared" si="6"/>
        <v>5256.3</v>
      </c>
      <c r="J52" s="60">
        <f t="shared" si="7"/>
        <v>-300.69999999999982</v>
      </c>
      <c r="K52" s="60">
        <f t="shared" si="8"/>
        <v>300.69999999999982</v>
      </c>
      <c r="L52" s="60">
        <f t="shared" si="9"/>
        <v>90420.489999999889</v>
      </c>
      <c r="M52" s="46">
        <f t="shared" si="10"/>
        <v>6.0678827992574014E-2</v>
      </c>
      <c r="N52" s="65">
        <f t="shared" si="39"/>
        <v>5256.3</v>
      </c>
      <c r="O52" s="60">
        <f t="shared" si="11"/>
        <v>-300.69999999999982</v>
      </c>
      <c r="P52" s="60">
        <f t="shared" si="12"/>
        <v>300.69999999999982</v>
      </c>
      <c r="Q52" s="60">
        <f t="shared" si="13"/>
        <v>90420.489999999889</v>
      </c>
      <c r="R52" s="46">
        <f t="shared" si="14"/>
        <v>6.0678827992574014E-2</v>
      </c>
      <c r="S52" s="61">
        <f t="shared" si="38"/>
        <v>5240.1463978409429</v>
      </c>
      <c r="T52" s="60">
        <f t="shared" si="15"/>
        <v>-284.54639784094252</v>
      </c>
      <c r="U52" s="60">
        <f t="shared" si="16"/>
        <v>284.54639784094252</v>
      </c>
      <c r="V52" s="60">
        <f t="shared" si="17"/>
        <v>80966.652524255944</v>
      </c>
      <c r="W52" s="46">
        <f t="shared" si="18"/>
        <v>5.7419161724300283E-2</v>
      </c>
      <c r="X52" s="61">
        <f t="shared" si="19"/>
        <v>5070.0480903585267</v>
      </c>
      <c r="Y52" s="61">
        <f t="shared" si="20"/>
        <v>-0.12264150943396226</v>
      </c>
      <c r="Z52" s="61">
        <f t="shared" si="21"/>
        <v>5239.9439308689316</v>
      </c>
      <c r="AA52" s="60">
        <f t="shared" si="22"/>
        <v>-284.34393086893124</v>
      </c>
      <c r="AB52" s="60">
        <f t="shared" si="23"/>
        <v>284.34393086893124</v>
      </c>
      <c r="AC52" s="60">
        <f t="shared" si="24"/>
        <v>80851.471021995545</v>
      </c>
      <c r="AD52" s="46">
        <f t="shared" si="25"/>
        <v>5.7378305526864806E-2</v>
      </c>
      <c r="AE52" s="61">
        <f t="shared" si="26"/>
        <v>5243.6107655978949</v>
      </c>
      <c r="AF52" s="61">
        <f t="shared" si="27"/>
        <v>0</v>
      </c>
      <c r="AG52" s="61">
        <f t="shared" si="28"/>
        <v>0.94448212262349429</v>
      </c>
      <c r="AH52" s="61">
        <f t="shared" si="29"/>
        <v>4940.5165969600857</v>
      </c>
      <c r="AI52" s="60">
        <f t="shared" si="30"/>
        <v>15.083403039914629</v>
      </c>
      <c r="AJ52" s="60">
        <f t="shared" si="31"/>
        <v>15.083403039914629</v>
      </c>
      <c r="AK52" s="60">
        <f t="shared" si="32"/>
        <v>227.50904726450585</v>
      </c>
      <c r="AL52" s="46">
        <f t="shared" si="33"/>
        <v>3.0437087416084084E-3</v>
      </c>
      <c r="AM52" s="68">
        <v>4938.57298170582</v>
      </c>
      <c r="AN52" s="60">
        <f t="shared" si="34"/>
        <v>17.02701829418038</v>
      </c>
      <c r="AO52" s="60">
        <f t="shared" si="35"/>
        <v>17.02701829418038</v>
      </c>
      <c r="AP52" s="60">
        <f t="shared" si="36"/>
        <v>289.91935199035333</v>
      </c>
      <c r="AQ52" s="46">
        <f t="shared" si="37"/>
        <v>3.4359145803092217E-3</v>
      </c>
    </row>
    <row r="53" spans="2:43">
      <c r="B53" s="42" t="s">
        <v>132</v>
      </c>
      <c r="C53" s="60">
        <v>5341.3</v>
      </c>
      <c r="D53" s="65">
        <f t="shared" si="1"/>
        <v>5889.5333333333328</v>
      </c>
      <c r="E53" s="60">
        <f t="shared" si="2"/>
        <v>-548.23333333333267</v>
      </c>
      <c r="F53" s="60">
        <f t="shared" si="3"/>
        <v>548.23333333333267</v>
      </c>
      <c r="G53" s="60">
        <f t="shared" si="4"/>
        <v>300559.78777777706</v>
      </c>
      <c r="H53" s="46">
        <f t="shared" si="5"/>
        <v>0.10264043085640812</v>
      </c>
      <c r="I53" s="65">
        <f t="shared" si="6"/>
        <v>5210.4750000000004</v>
      </c>
      <c r="J53" s="60">
        <f t="shared" si="7"/>
        <v>130.82499999999982</v>
      </c>
      <c r="K53" s="60">
        <f t="shared" si="8"/>
        <v>130.82499999999982</v>
      </c>
      <c r="L53" s="60">
        <f t="shared" si="9"/>
        <v>17115.180624999954</v>
      </c>
      <c r="M53" s="46">
        <f t="shared" si="10"/>
        <v>2.4493100930485054E-2</v>
      </c>
      <c r="N53" s="65">
        <f t="shared" si="39"/>
        <v>5210.4750000000004</v>
      </c>
      <c r="O53" s="60">
        <f t="shared" si="11"/>
        <v>130.82499999999982</v>
      </c>
      <c r="P53" s="60">
        <f t="shared" si="12"/>
        <v>130.82499999999982</v>
      </c>
      <c r="Q53" s="60">
        <f t="shared" si="13"/>
        <v>17115.180624999954</v>
      </c>
      <c r="R53" s="46">
        <f t="shared" si="14"/>
        <v>2.4493100930485054E-2</v>
      </c>
      <c r="S53" s="61">
        <f t="shared" si="38"/>
        <v>5070.1258123674997</v>
      </c>
      <c r="T53" s="60">
        <f t="shared" si="15"/>
        <v>271.17418763250043</v>
      </c>
      <c r="U53" s="60">
        <f t="shared" si="16"/>
        <v>271.17418763250043</v>
      </c>
      <c r="V53" s="60">
        <f t="shared" si="17"/>
        <v>73535.440038146553</v>
      </c>
      <c r="W53" s="46">
        <f t="shared" si="18"/>
        <v>5.0769323504109565E-2</v>
      </c>
      <c r="X53" s="61">
        <f t="shared" si="19"/>
        <v>5232.0720693871954</v>
      </c>
      <c r="Y53" s="61">
        <f t="shared" si="20"/>
        <v>-0.12264150943396226</v>
      </c>
      <c r="Z53" s="61">
        <f t="shared" si="21"/>
        <v>5069.9254488490924</v>
      </c>
      <c r="AA53" s="60">
        <f t="shared" si="22"/>
        <v>271.37455115090779</v>
      </c>
      <c r="AB53" s="60">
        <f t="shared" si="23"/>
        <v>271.37455115090779</v>
      </c>
      <c r="AC53" s="60">
        <f t="shared" si="24"/>
        <v>73644.147012356669</v>
      </c>
      <c r="AD53" s="46">
        <f t="shared" si="25"/>
        <v>5.0806835630072787E-2</v>
      </c>
      <c r="AE53" s="61">
        <f t="shared" si="26"/>
        <v>5282.1580646353541</v>
      </c>
      <c r="AF53" s="61">
        <f t="shared" si="27"/>
        <v>0</v>
      </c>
      <c r="AG53" s="61">
        <f t="shared" si="28"/>
        <v>1.0086730008614979</v>
      </c>
      <c r="AH53" s="61">
        <f t="shared" si="29"/>
        <v>5276.5129781484393</v>
      </c>
      <c r="AI53" s="60">
        <f t="shared" si="30"/>
        <v>64.787021851560894</v>
      </c>
      <c r="AJ53" s="60">
        <f t="shared" si="31"/>
        <v>64.787021851560894</v>
      </c>
      <c r="AK53" s="60">
        <f t="shared" si="32"/>
        <v>4197.3582003946285</v>
      </c>
      <c r="AL53" s="46">
        <f t="shared" si="33"/>
        <v>1.2129448233868327E-2</v>
      </c>
      <c r="AM53" s="68">
        <v>5112.4261051269996</v>
      </c>
      <c r="AN53" s="60">
        <f t="shared" si="34"/>
        <v>228.87389487300061</v>
      </c>
      <c r="AO53" s="60">
        <f t="shared" si="35"/>
        <v>228.87389487300061</v>
      </c>
      <c r="AP53" s="60">
        <f t="shared" si="36"/>
        <v>52383.259754337334</v>
      </c>
      <c r="AQ53" s="46">
        <f t="shared" si="37"/>
        <v>4.284984832774804E-2</v>
      </c>
    </row>
    <row r="54" spans="2:43">
      <c r="B54" s="42" t="s">
        <v>133</v>
      </c>
      <c r="C54" s="60">
        <v>5430.6</v>
      </c>
      <c r="D54" s="65">
        <f t="shared" si="1"/>
        <v>5849.3666666666659</v>
      </c>
      <c r="E54" s="60">
        <f t="shared" si="2"/>
        <v>-418.76666666666551</v>
      </c>
      <c r="F54" s="60">
        <f t="shared" si="3"/>
        <v>418.76666666666551</v>
      </c>
      <c r="G54" s="60">
        <f t="shared" si="4"/>
        <v>175365.52111111014</v>
      </c>
      <c r="H54" s="46">
        <f t="shared" si="5"/>
        <v>7.7112412379233511E-2</v>
      </c>
      <c r="I54" s="65">
        <f t="shared" si="6"/>
        <v>5207.3250000000007</v>
      </c>
      <c r="J54" s="60">
        <f t="shared" si="7"/>
        <v>223.27499999999964</v>
      </c>
      <c r="K54" s="60">
        <f t="shared" si="8"/>
        <v>223.27499999999964</v>
      </c>
      <c r="L54" s="60">
        <f t="shared" si="9"/>
        <v>49851.725624999839</v>
      </c>
      <c r="M54" s="46">
        <f t="shared" si="10"/>
        <v>4.1114241520273931E-2</v>
      </c>
      <c r="N54" s="65">
        <f t="shared" si="39"/>
        <v>5207.3250000000007</v>
      </c>
      <c r="O54" s="60">
        <f t="shared" si="11"/>
        <v>223.27499999999964</v>
      </c>
      <c r="P54" s="60">
        <f t="shared" si="12"/>
        <v>223.27499999999964</v>
      </c>
      <c r="Q54" s="60">
        <f t="shared" si="13"/>
        <v>49851.725624999839</v>
      </c>
      <c r="R54" s="46">
        <f t="shared" si="14"/>
        <v>4.1114241520273931E-2</v>
      </c>
      <c r="S54" s="61">
        <f t="shared" si="38"/>
        <v>5232.1563089627698</v>
      </c>
      <c r="T54" s="60">
        <f t="shared" si="15"/>
        <v>198.44369103723056</v>
      </c>
      <c r="U54" s="60">
        <f t="shared" si="16"/>
        <v>198.44369103723056</v>
      </c>
      <c r="V54" s="60">
        <f t="shared" si="17"/>
        <v>39379.89851247982</v>
      </c>
      <c r="W54" s="46">
        <f t="shared" si="18"/>
        <v>3.6541761690647545E-2</v>
      </c>
      <c r="X54" s="61">
        <f t="shared" si="19"/>
        <v>5350.6433835231082</v>
      </c>
      <c r="Y54" s="61">
        <f t="shared" si="20"/>
        <v>-0.12264150943396226</v>
      </c>
      <c r="Z54" s="61">
        <f t="shared" si="21"/>
        <v>5231.9494278777611</v>
      </c>
      <c r="AA54" s="60">
        <f t="shared" si="22"/>
        <v>198.65057212223928</v>
      </c>
      <c r="AB54" s="60">
        <f t="shared" si="23"/>
        <v>198.65057212223928</v>
      </c>
      <c r="AC54" s="60">
        <f t="shared" si="24"/>
        <v>39462.049804492992</v>
      </c>
      <c r="AD54" s="46">
        <f t="shared" si="25"/>
        <v>3.6579857128538146E-2</v>
      </c>
      <c r="AE54" s="61">
        <f t="shared" si="26"/>
        <v>5307.0151881469683</v>
      </c>
      <c r="AF54" s="61">
        <f t="shared" si="27"/>
        <v>0</v>
      </c>
      <c r="AG54" s="61">
        <f t="shared" si="28"/>
        <v>1.0216451568721452</v>
      </c>
      <c r="AH54" s="61">
        <f t="shared" si="29"/>
        <v>5388.2489067020515</v>
      </c>
      <c r="AI54" s="60">
        <f t="shared" si="30"/>
        <v>42.351093297948864</v>
      </c>
      <c r="AJ54" s="60">
        <f t="shared" si="31"/>
        <v>42.351093297948864</v>
      </c>
      <c r="AK54" s="60">
        <f t="shared" si="32"/>
        <v>1793.6151035315693</v>
      </c>
      <c r="AL54" s="46">
        <f t="shared" si="33"/>
        <v>7.7986029716695876E-3</v>
      </c>
      <c r="AM54" s="68">
        <v>5523.6585070239798</v>
      </c>
      <c r="AN54" s="60">
        <f t="shared" si="34"/>
        <v>-93.058507023979473</v>
      </c>
      <c r="AO54" s="60">
        <f t="shared" si="35"/>
        <v>93.058507023979473</v>
      </c>
      <c r="AP54" s="60">
        <f t="shared" si="36"/>
        <v>8659.8857295320377</v>
      </c>
      <c r="AQ54" s="46">
        <f t="shared" si="37"/>
        <v>1.7135953121934864E-2</v>
      </c>
    </row>
    <row r="55" spans="2:43">
      <c r="B55" s="42" t="s">
        <v>134</v>
      </c>
      <c r="C55" s="60">
        <v>5348.9999999999982</v>
      </c>
      <c r="D55" s="65">
        <f t="shared" si="1"/>
        <v>5510.7000000000016</v>
      </c>
      <c r="E55" s="60">
        <f t="shared" si="2"/>
        <v>-161.70000000000346</v>
      </c>
      <c r="F55" s="60">
        <f t="shared" si="3"/>
        <v>161.70000000000346</v>
      </c>
      <c r="G55" s="60">
        <f t="shared" si="4"/>
        <v>26146.890000001116</v>
      </c>
      <c r="H55" s="46">
        <f t="shared" si="5"/>
        <v>3.0229949523276036E-2</v>
      </c>
      <c r="I55" s="65">
        <f t="shared" si="6"/>
        <v>5222.625</v>
      </c>
      <c r="J55" s="60">
        <f t="shared" si="7"/>
        <v>126.37499999999818</v>
      </c>
      <c r="K55" s="60">
        <f t="shared" si="8"/>
        <v>126.37499999999818</v>
      </c>
      <c r="L55" s="60">
        <f t="shared" si="9"/>
        <v>15970.64062499954</v>
      </c>
      <c r="M55" s="46">
        <f t="shared" si="10"/>
        <v>2.3625911385305332E-2</v>
      </c>
      <c r="N55" s="65">
        <f t="shared" si="39"/>
        <v>5222.625</v>
      </c>
      <c r="O55" s="60">
        <f t="shared" si="11"/>
        <v>126.37499999999818</v>
      </c>
      <c r="P55" s="60">
        <f t="shared" si="12"/>
        <v>126.37499999999818</v>
      </c>
      <c r="Q55" s="60">
        <f t="shared" si="13"/>
        <v>15970.64062499954</v>
      </c>
      <c r="R55" s="46">
        <f t="shared" si="14"/>
        <v>2.3625911385305332E-2</v>
      </c>
      <c r="S55" s="61">
        <f t="shared" si="38"/>
        <v>5350.7292826137</v>
      </c>
      <c r="T55" s="60">
        <f t="shared" si="15"/>
        <v>-1.7292826137017983</v>
      </c>
      <c r="U55" s="60">
        <f t="shared" si="16"/>
        <v>1.7292826137017983</v>
      </c>
      <c r="V55" s="60">
        <f t="shared" si="17"/>
        <v>2.9904183580513228</v>
      </c>
      <c r="W55" s="46">
        <f t="shared" si="18"/>
        <v>3.2329082327571486E-4</v>
      </c>
      <c r="X55" s="61">
        <f t="shared" si="19"/>
        <v>5349.6120968323849</v>
      </c>
      <c r="Y55" s="61">
        <f t="shared" si="20"/>
        <v>-0.12264150943396226</v>
      </c>
      <c r="Z55" s="61">
        <f t="shared" si="21"/>
        <v>5350.520742013674</v>
      </c>
      <c r="AA55" s="60">
        <f t="shared" si="22"/>
        <v>-1.5207420136757719</v>
      </c>
      <c r="AB55" s="60">
        <f t="shared" si="23"/>
        <v>1.5207420136757719</v>
      </c>
      <c r="AC55" s="60">
        <f t="shared" si="24"/>
        <v>2.3126562721586414</v>
      </c>
      <c r="AD55" s="46">
        <f t="shared" si="25"/>
        <v>2.8430398460941718E-4</v>
      </c>
      <c r="AE55" s="61">
        <f t="shared" si="26"/>
        <v>5364.9481581254158</v>
      </c>
      <c r="AF55" s="61">
        <f t="shared" si="27"/>
        <v>0</v>
      </c>
      <c r="AG55" s="61">
        <f t="shared" si="28"/>
        <v>0.99335411500287285</v>
      </c>
      <c r="AH55" s="61">
        <f t="shared" si="29"/>
        <v>5253.2191945463501</v>
      </c>
      <c r="AI55" s="60">
        <f t="shared" si="30"/>
        <v>95.7808054536481</v>
      </c>
      <c r="AJ55" s="60">
        <f t="shared" si="31"/>
        <v>95.7808054536481</v>
      </c>
      <c r="AK55" s="60">
        <f t="shared" si="32"/>
        <v>9173.9626933495856</v>
      </c>
      <c r="AL55" s="46">
        <f t="shared" si="33"/>
        <v>1.7906301262600136E-2</v>
      </c>
      <c r="AM55" s="68">
        <v>5288.5266110721795</v>
      </c>
      <c r="AN55" s="60">
        <f t="shared" si="34"/>
        <v>60.473388927818633</v>
      </c>
      <c r="AO55" s="60">
        <f t="shared" si="35"/>
        <v>60.473388927818633</v>
      </c>
      <c r="AP55" s="60">
        <f t="shared" si="36"/>
        <v>3657.0307684152172</v>
      </c>
      <c r="AQ55" s="46">
        <f t="shared" si="37"/>
        <v>1.1305550369754842E-2</v>
      </c>
    </row>
    <row r="56" spans="2:43">
      <c r="B56" s="42" t="s">
        <v>135</v>
      </c>
      <c r="C56" s="60">
        <v>4714.3999999999996</v>
      </c>
      <c r="D56" s="65">
        <f t="shared" si="1"/>
        <v>5256.8</v>
      </c>
      <c r="E56" s="60">
        <f t="shared" si="2"/>
        <v>-542.40000000000055</v>
      </c>
      <c r="F56" s="60">
        <f t="shared" si="3"/>
        <v>542.40000000000055</v>
      </c>
      <c r="G56" s="60">
        <f t="shared" si="4"/>
        <v>294197.76000000059</v>
      </c>
      <c r="H56" s="46">
        <f t="shared" si="5"/>
        <v>0.115051756321059</v>
      </c>
      <c r="I56" s="65">
        <f t="shared" si="6"/>
        <v>5269.125</v>
      </c>
      <c r="J56" s="60">
        <f t="shared" si="7"/>
        <v>-554.72500000000036</v>
      </c>
      <c r="K56" s="60">
        <f t="shared" si="8"/>
        <v>554.72500000000036</v>
      </c>
      <c r="L56" s="60">
        <f t="shared" si="9"/>
        <v>307719.82562500041</v>
      </c>
      <c r="M56" s="46">
        <f t="shared" si="10"/>
        <v>0.11766608688274233</v>
      </c>
      <c r="N56" s="65">
        <f t="shared" si="39"/>
        <v>5269.125</v>
      </c>
      <c r="O56" s="60">
        <f t="shared" si="11"/>
        <v>-554.72500000000036</v>
      </c>
      <c r="P56" s="60">
        <f t="shared" si="12"/>
        <v>554.72500000000036</v>
      </c>
      <c r="Q56" s="60">
        <f t="shared" si="13"/>
        <v>307719.82562500041</v>
      </c>
      <c r="R56" s="46">
        <f t="shared" si="14"/>
        <v>0.11766608688274233</v>
      </c>
      <c r="S56" s="61">
        <f t="shared" si="38"/>
        <v>5349.6960112573888</v>
      </c>
      <c r="T56" s="60">
        <f t="shared" si="15"/>
        <v>-635.29601125738918</v>
      </c>
      <c r="U56" s="60">
        <f t="shared" si="16"/>
        <v>635.29601125738918</v>
      </c>
      <c r="V56" s="60">
        <f t="shared" si="17"/>
        <v>403601.02191954874</v>
      </c>
      <c r="W56" s="46">
        <f t="shared" si="18"/>
        <v>0.13475649313961252</v>
      </c>
      <c r="X56" s="61">
        <f t="shared" si="19"/>
        <v>4970.0227423122069</v>
      </c>
      <c r="Y56" s="61">
        <f t="shared" si="20"/>
        <v>-0.12264150943396226</v>
      </c>
      <c r="Z56" s="61">
        <f t="shared" si="21"/>
        <v>5349.4894553229506</v>
      </c>
      <c r="AA56" s="60">
        <f t="shared" si="22"/>
        <v>-635.08945532295093</v>
      </c>
      <c r="AB56" s="60">
        <f t="shared" si="23"/>
        <v>635.08945532295093</v>
      </c>
      <c r="AC56" s="60">
        <f t="shared" si="24"/>
        <v>403338.6162624025</v>
      </c>
      <c r="AD56" s="46">
        <f t="shared" si="25"/>
        <v>0.13471267930658218</v>
      </c>
      <c r="AE56" s="61">
        <f t="shared" si="26"/>
        <v>5141.369012188803</v>
      </c>
      <c r="AF56" s="61">
        <f t="shared" si="27"/>
        <v>0</v>
      </c>
      <c r="AG56" s="61">
        <f t="shared" si="28"/>
        <v>0.93106849100079847</v>
      </c>
      <c r="AH56" s="61">
        <f t="shared" si="29"/>
        <v>5067.097624151299</v>
      </c>
      <c r="AI56" s="60">
        <f t="shared" si="30"/>
        <v>-352.69762415129935</v>
      </c>
      <c r="AJ56" s="60">
        <f t="shared" si="31"/>
        <v>352.69762415129935</v>
      </c>
      <c r="AK56" s="60">
        <f t="shared" si="32"/>
        <v>124395.61408197122</v>
      </c>
      <c r="AL56" s="46">
        <f t="shared" si="33"/>
        <v>7.4812833902787076E-2</v>
      </c>
      <c r="AM56" s="68">
        <v>5093.7890006790103</v>
      </c>
      <c r="AN56" s="60">
        <f t="shared" si="34"/>
        <v>-379.38900067901068</v>
      </c>
      <c r="AO56" s="60">
        <f t="shared" si="35"/>
        <v>379.38900067901068</v>
      </c>
      <c r="AP56" s="60">
        <f t="shared" si="36"/>
        <v>143936.01383621836</v>
      </c>
      <c r="AQ56" s="46">
        <f t="shared" si="37"/>
        <v>8.0474503792425489E-2</v>
      </c>
    </row>
    <row r="57" spans="2:43">
      <c r="B57" s="42" t="s">
        <v>136</v>
      </c>
      <c r="C57" s="60">
        <v>3761.5</v>
      </c>
      <c r="D57" s="65">
        <f t="shared" si="1"/>
        <v>5581.6333333333323</v>
      </c>
      <c r="E57" s="60">
        <f t="shared" si="2"/>
        <v>-1820.1333333333323</v>
      </c>
      <c r="F57" s="60">
        <f t="shared" si="3"/>
        <v>1820.1333333333323</v>
      </c>
      <c r="G57" s="60">
        <f t="shared" si="4"/>
        <v>3312885.3511111075</v>
      </c>
      <c r="H57" s="46">
        <f t="shared" si="5"/>
        <v>0.48388497496566057</v>
      </c>
      <c r="I57" s="65">
        <f t="shared" si="6"/>
        <v>5208.8249999999998</v>
      </c>
      <c r="J57" s="60">
        <f t="shared" si="7"/>
        <v>-1447.3249999999998</v>
      </c>
      <c r="K57" s="60">
        <f t="shared" si="8"/>
        <v>1447.3249999999998</v>
      </c>
      <c r="L57" s="60">
        <f t="shared" si="9"/>
        <v>2094749.6556249994</v>
      </c>
      <c r="M57" s="46">
        <f t="shared" si="10"/>
        <v>0.38477336169081477</v>
      </c>
      <c r="N57" s="65">
        <f t="shared" si="39"/>
        <v>5208.8249999999998</v>
      </c>
      <c r="O57" s="60">
        <f t="shared" si="11"/>
        <v>-1447.3249999999998</v>
      </c>
      <c r="P57" s="60">
        <f t="shared" si="12"/>
        <v>1447.3249999999998</v>
      </c>
      <c r="Q57" s="60">
        <f t="shared" si="13"/>
        <v>2094749.6556249994</v>
      </c>
      <c r="R57" s="46">
        <f t="shared" si="14"/>
        <v>0.38477336169081477</v>
      </c>
      <c r="S57" s="61">
        <f t="shared" si="38"/>
        <v>4970.0974621191817</v>
      </c>
      <c r="T57" s="60">
        <f t="shared" si="15"/>
        <v>-1208.5974621191817</v>
      </c>
      <c r="U57" s="60">
        <f t="shared" si="16"/>
        <v>1208.5974621191817</v>
      </c>
      <c r="V57" s="60">
        <f t="shared" si="17"/>
        <v>1460707.8254409269</v>
      </c>
      <c r="W57" s="46">
        <f t="shared" si="18"/>
        <v>0.32130731413510083</v>
      </c>
      <c r="X57" s="61">
        <f t="shared" si="19"/>
        <v>4247.8795879282461</v>
      </c>
      <c r="Y57" s="61">
        <f t="shared" si="20"/>
        <v>-0.12264150943396226</v>
      </c>
      <c r="Z57" s="61">
        <f t="shared" si="21"/>
        <v>4969.9001008027726</v>
      </c>
      <c r="AA57" s="60">
        <f t="shared" si="22"/>
        <v>-1208.4001008027726</v>
      </c>
      <c r="AB57" s="60">
        <f t="shared" si="23"/>
        <v>1208.4001008027726</v>
      </c>
      <c r="AC57" s="60">
        <f t="shared" si="24"/>
        <v>1460230.803620151</v>
      </c>
      <c r="AD57" s="46">
        <f t="shared" si="25"/>
        <v>0.32125484535498405</v>
      </c>
      <c r="AE57" s="61">
        <f t="shared" si="26"/>
        <v>4295.8519103031213</v>
      </c>
      <c r="AF57" s="61">
        <f t="shared" si="27"/>
        <v>0</v>
      </c>
      <c r="AG57" s="61">
        <f t="shared" si="28"/>
        <v>0.94383589708791149</v>
      </c>
      <c r="AH57" s="61">
        <f t="shared" si="29"/>
        <v>5185.9601100607952</v>
      </c>
      <c r="AI57" s="60">
        <f t="shared" si="30"/>
        <v>-1424.4601100607952</v>
      </c>
      <c r="AJ57" s="60">
        <f t="shared" si="31"/>
        <v>1424.4601100607952</v>
      </c>
      <c r="AK57" s="60">
        <f t="shared" si="32"/>
        <v>2029086.6051544126</v>
      </c>
      <c r="AL57" s="46">
        <f t="shared" si="33"/>
        <v>0.37869469893946434</v>
      </c>
      <c r="AM57" s="68">
        <v>4943.6627776815103</v>
      </c>
      <c r="AN57" s="60">
        <f t="shared" si="34"/>
        <v>-1182.1627776815103</v>
      </c>
      <c r="AO57" s="60">
        <f t="shared" si="35"/>
        <v>1182.1627776815103</v>
      </c>
      <c r="AP57" s="60">
        <f t="shared" si="36"/>
        <v>1397508.8329356639</v>
      </c>
      <c r="AQ57" s="46">
        <f t="shared" si="37"/>
        <v>0.31427961655762604</v>
      </c>
    </row>
    <row r="58" spans="2:43">
      <c r="B58" s="42" t="s">
        <v>137</v>
      </c>
      <c r="C58" s="60">
        <v>5418.1</v>
      </c>
      <c r="D58" s="65">
        <f t="shared" si="1"/>
        <v>5518.2</v>
      </c>
      <c r="E58" s="60">
        <f t="shared" si="2"/>
        <v>-100.09999999999945</v>
      </c>
      <c r="F58" s="60">
        <f t="shared" si="3"/>
        <v>100.09999999999945</v>
      </c>
      <c r="G58" s="60">
        <f t="shared" si="4"/>
        <v>10020.009999999891</v>
      </c>
      <c r="H58" s="46">
        <f t="shared" si="5"/>
        <v>1.8475111201343541E-2</v>
      </c>
      <c r="I58" s="65">
        <f t="shared" si="6"/>
        <v>4813.875</v>
      </c>
      <c r="J58" s="60">
        <f t="shared" si="7"/>
        <v>604.22500000000036</v>
      </c>
      <c r="K58" s="60">
        <f t="shared" si="8"/>
        <v>604.22500000000036</v>
      </c>
      <c r="L58" s="60">
        <f t="shared" si="9"/>
        <v>365087.85062500043</v>
      </c>
      <c r="M58" s="46">
        <f t="shared" si="10"/>
        <v>0.11151972093538332</v>
      </c>
      <c r="N58" s="65">
        <f t="shared" si="39"/>
        <v>4813.875</v>
      </c>
      <c r="O58" s="60">
        <f t="shared" si="11"/>
        <v>604.22500000000036</v>
      </c>
      <c r="P58" s="60">
        <f t="shared" si="12"/>
        <v>604.22500000000036</v>
      </c>
      <c r="Q58" s="60">
        <f t="shared" si="13"/>
        <v>365087.85062500043</v>
      </c>
      <c r="R58" s="46">
        <f t="shared" si="14"/>
        <v>0.11151972093538332</v>
      </c>
      <c r="S58" s="61">
        <f t="shared" si="38"/>
        <v>4247.9430097332279</v>
      </c>
      <c r="T58" s="60">
        <f t="shared" si="15"/>
        <v>1170.1569902667725</v>
      </c>
      <c r="U58" s="60">
        <f t="shared" si="16"/>
        <v>1170.1569902667725</v>
      </c>
      <c r="V58" s="60">
        <f t="shared" si="17"/>
        <v>1369267.3818701915</v>
      </c>
      <c r="W58" s="46">
        <f t="shared" si="18"/>
        <v>0.21597183334873341</v>
      </c>
      <c r="X58" s="61">
        <f t="shared" si="19"/>
        <v>4947.0383278292111</v>
      </c>
      <c r="Y58" s="61">
        <f t="shared" si="20"/>
        <v>-0.12264150943396226</v>
      </c>
      <c r="Z58" s="61">
        <f t="shared" si="21"/>
        <v>4247.7569464188118</v>
      </c>
      <c r="AA58" s="60">
        <f t="shared" si="22"/>
        <v>1170.3430535811885</v>
      </c>
      <c r="AB58" s="60">
        <f t="shared" si="23"/>
        <v>1170.3430535811885</v>
      </c>
      <c r="AC58" s="60">
        <f t="shared" si="24"/>
        <v>1369702.8630657408</v>
      </c>
      <c r="AD58" s="46">
        <f t="shared" si="25"/>
        <v>0.2160061744119135</v>
      </c>
      <c r="AE58" s="61">
        <f t="shared" si="26"/>
        <v>4899.0348879865596</v>
      </c>
      <c r="AF58" s="61">
        <f t="shared" si="27"/>
        <v>0</v>
      </c>
      <c r="AG58" s="61">
        <f t="shared" si="28"/>
        <v>1.0627259425814235</v>
      </c>
      <c r="AH58" s="61">
        <f t="shared" si="29"/>
        <v>4388.8362988011368</v>
      </c>
      <c r="AI58" s="60">
        <f t="shared" si="30"/>
        <v>1029.2637011988636</v>
      </c>
      <c r="AJ58" s="60">
        <f t="shared" si="31"/>
        <v>1029.2637011988636</v>
      </c>
      <c r="AK58" s="60">
        <f t="shared" si="32"/>
        <v>1059383.7666055835</v>
      </c>
      <c r="AL58" s="46">
        <f t="shared" si="33"/>
        <v>0.18996764570584956</v>
      </c>
      <c r="AM58" s="68">
        <v>4143.4124395601402</v>
      </c>
      <c r="AN58" s="60">
        <f t="shared" si="34"/>
        <v>1274.6875604398601</v>
      </c>
      <c r="AO58" s="60">
        <f t="shared" si="35"/>
        <v>1274.6875604398601</v>
      </c>
      <c r="AP58" s="60">
        <f t="shared" si="36"/>
        <v>1624828.376740122</v>
      </c>
      <c r="AQ58" s="46">
        <f t="shared" si="37"/>
        <v>0.23526467958137726</v>
      </c>
    </row>
    <row r="59" spans="2:43">
      <c r="B59" s="42" t="s">
        <v>138</v>
      </c>
      <c r="C59" s="60">
        <v>5314</v>
      </c>
      <c r="D59" s="65">
        <f t="shared" si="1"/>
        <v>5284.0666666666684</v>
      </c>
      <c r="E59" s="60">
        <f t="shared" si="2"/>
        <v>29.933333333331575</v>
      </c>
      <c r="F59" s="60">
        <f t="shared" si="3"/>
        <v>29.933333333331575</v>
      </c>
      <c r="G59" s="60">
        <f t="shared" si="4"/>
        <v>896.00444444433913</v>
      </c>
      <c r="H59" s="46">
        <f t="shared" si="5"/>
        <v>5.6329193325802742E-3</v>
      </c>
      <c r="I59" s="65">
        <f t="shared" si="6"/>
        <v>4810.75</v>
      </c>
      <c r="J59" s="60">
        <f t="shared" si="7"/>
        <v>503.25</v>
      </c>
      <c r="K59" s="60">
        <f t="shared" si="8"/>
        <v>503.25</v>
      </c>
      <c r="L59" s="60">
        <f t="shared" si="9"/>
        <v>253260.5625</v>
      </c>
      <c r="M59" s="46">
        <f t="shared" si="10"/>
        <v>9.4702672186676704E-2</v>
      </c>
      <c r="N59" s="65">
        <f t="shared" si="39"/>
        <v>4810.75</v>
      </c>
      <c r="O59" s="60">
        <f t="shared" si="11"/>
        <v>503.25</v>
      </c>
      <c r="P59" s="60">
        <f t="shared" si="12"/>
        <v>503.25</v>
      </c>
      <c r="Q59" s="60">
        <f t="shared" si="13"/>
        <v>253260.5625</v>
      </c>
      <c r="R59" s="46">
        <f t="shared" si="14"/>
        <v>9.4702672186676704E-2</v>
      </c>
      <c r="S59" s="61">
        <f t="shared" si="38"/>
        <v>4947.1287245782642</v>
      </c>
      <c r="T59" s="60">
        <f t="shared" si="15"/>
        <v>366.87127542173585</v>
      </c>
      <c r="U59" s="60">
        <f t="shared" si="16"/>
        <v>366.87127542173585</v>
      </c>
      <c r="V59" s="60">
        <f t="shared" si="17"/>
        <v>134594.53272957116</v>
      </c>
      <c r="W59" s="46">
        <f t="shared" si="18"/>
        <v>6.9038629172325144E-2</v>
      </c>
      <c r="X59" s="61">
        <f t="shared" si="19"/>
        <v>5166.2490050239985</v>
      </c>
      <c r="Y59" s="61">
        <f t="shared" si="20"/>
        <v>-0.12264150943396226</v>
      </c>
      <c r="Z59" s="61">
        <f t="shared" si="21"/>
        <v>4946.9156863197768</v>
      </c>
      <c r="AA59" s="60">
        <f t="shared" si="22"/>
        <v>367.0843136802232</v>
      </c>
      <c r="AB59" s="60">
        <f t="shared" si="23"/>
        <v>367.0843136802232</v>
      </c>
      <c r="AC59" s="60">
        <f t="shared" si="24"/>
        <v>134750.8933500805</v>
      </c>
      <c r="AD59" s="46">
        <f t="shared" si="25"/>
        <v>6.9078719172040504E-2</v>
      </c>
      <c r="AE59" s="61">
        <f t="shared" si="26"/>
        <v>5168.7680132723272</v>
      </c>
      <c r="AF59" s="61">
        <f t="shared" si="27"/>
        <v>0</v>
      </c>
      <c r="AG59" s="61">
        <f t="shared" si="28"/>
        <v>1.0102839004887292</v>
      </c>
      <c r="AH59" s="61">
        <f t="shared" si="29"/>
        <v>4866.476465524087</v>
      </c>
      <c r="AI59" s="60">
        <f t="shared" si="30"/>
        <v>447.52353447591304</v>
      </c>
      <c r="AJ59" s="60">
        <f t="shared" si="31"/>
        <v>447.52353447591304</v>
      </c>
      <c r="AK59" s="60">
        <f t="shared" si="32"/>
        <v>200277.31390981373</v>
      </c>
      <c r="AL59" s="46">
        <f t="shared" si="33"/>
        <v>8.4215945516731852E-2</v>
      </c>
      <c r="AM59" s="68">
        <v>4772.2094598834001</v>
      </c>
      <c r="AN59" s="60">
        <f t="shared" si="34"/>
        <v>541.79054011659991</v>
      </c>
      <c r="AO59" s="60">
        <f t="shared" si="35"/>
        <v>541.79054011659991</v>
      </c>
      <c r="AP59" s="60">
        <f t="shared" si="36"/>
        <v>293536.98935983708</v>
      </c>
      <c r="AQ59" s="46">
        <f t="shared" si="37"/>
        <v>0.10195531428614978</v>
      </c>
    </row>
    <row r="60" spans="2:43">
      <c r="B60" s="42" t="s">
        <v>139</v>
      </c>
      <c r="C60" s="60">
        <v>5124.6000000000004</v>
      </c>
      <c r="D60" s="65">
        <f t="shared" ref="D60:D67" si="40">AVERAGE(C48,C52,C56)</f>
        <v>4936.3</v>
      </c>
      <c r="E60" s="60">
        <f t="shared" si="2"/>
        <v>188.30000000000018</v>
      </c>
      <c r="F60" s="60">
        <f t="shared" si="3"/>
        <v>188.30000000000018</v>
      </c>
      <c r="G60" s="60">
        <f t="shared" si="4"/>
        <v>35456.890000000065</v>
      </c>
      <c r="H60" s="46">
        <f t="shared" si="5"/>
        <v>3.6744331264879242E-2</v>
      </c>
      <c r="I60" s="65">
        <f t="shared" si="6"/>
        <v>4802</v>
      </c>
      <c r="J60" s="60">
        <f t="shared" si="7"/>
        <v>322.60000000000036</v>
      </c>
      <c r="K60" s="60">
        <f t="shared" si="8"/>
        <v>322.60000000000036</v>
      </c>
      <c r="L60" s="60">
        <f t="shared" si="9"/>
        <v>104070.76000000023</v>
      </c>
      <c r="M60" s="46">
        <f t="shared" si="10"/>
        <v>6.2951254732076717E-2</v>
      </c>
      <c r="N60" s="65">
        <f t="shared" si="39"/>
        <v>4802</v>
      </c>
      <c r="O60" s="60">
        <f t="shared" si="11"/>
        <v>322.60000000000036</v>
      </c>
      <c r="P60" s="60">
        <f t="shared" si="12"/>
        <v>322.60000000000036</v>
      </c>
      <c r="Q60" s="60">
        <f t="shared" si="13"/>
        <v>104070.76000000023</v>
      </c>
      <c r="R60" s="46">
        <f t="shared" si="14"/>
        <v>6.2951254732076717E-2</v>
      </c>
      <c r="S60" s="61">
        <f t="shared" si="38"/>
        <v>5166.3396143097152</v>
      </c>
      <c r="T60" s="60">
        <f t="shared" si="15"/>
        <v>-41.739614309714852</v>
      </c>
      <c r="U60" s="60">
        <f t="shared" si="16"/>
        <v>41.739614309714852</v>
      </c>
      <c r="V60" s="60">
        <f t="shared" si="17"/>
        <v>1742.195402723753</v>
      </c>
      <c r="W60" s="46">
        <f t="shared" si="18"/>
        <v>8.1449506907299782E-3</v>
      </c>
      <c r="X60" s="61">
        <f t="shared" si="19"/>
        <v>5141.314311394839</v>
      </c>
      <c r="Y60" s="61">
        <f t="shared" si="20"/>
        <v>-0.12264150943396226</v>
      </c>
      <c r="Z60" s="61">
        <f t="shared" si="21"/>
        <v>5166.1263635145642</v>
      </c>
      <c r="AA60" s="60">
        <f t="shared" si="22"/>
        <v>-41.526363514563855</v>
      </c>
      <c r="AB60" s="60">
        <f t="shared" si="23"/>
        <v>41.526363514563855</v>
      </c>
      <c r="AC60" s="60">
        <f t="shared" si="24"/>
        <v>1724.4388667437001</v>
      </c>
      <c r="AD60" s="46">
        <f t="shared" si="25"/>
        <v>8.1033375316246839E-3</v>
      </c>
      <c r="AE60" s="61">
        <f t="shared" si="26"/>
        <v>5369.4768970012556</v>
      </c>
      <c r="AF60" s="61">
        <f t="shared" si="27"/>
        <v>0</v>
      </c>
      <c r="AG60" s="61">
        <f t="shared" si="28"/>
        <v>0.9424347189920792</v>
      </c>
      <c r="AH60" s="61">
        <f t="shared" si="29"/>
        <v>4812.4770344506605</v>
      </c>
      <c r="AI60" s="60">
        <f t="shared" si="30"/>
        <v>312.12296554933982</v>
      </c>
      <c r="AJ60" s="60">
        <f t="shared" si="31"/>
        <v>312.12296554933982</v>
      </c>
      <c r="AK60" s="60">
        <f t="shared" si="32"/>
        <v>97420.745623314375</v>
      </c>
      <c r="AL60" s="46">
        <f t="shared" si="33"/>
        <v>6.0906795759540215E-2</v>
      </c>
      <c r="AM60" s="68">
        <v>4947.7956855115699</v>
      </c>
      <c r="AN60" s="60">
        <f t="shared" si="34"/>
        <v>176.80431448843046</v>
      </c>
      <c r="AO60" s="60">
        <f t="shared" si="35"/>
        <v>176.80431448843046</v>
      </c>
      <c r="AP60" s="60">
        <f t="shared" si="36"/>
        <v>31259.765621723822</v>
      </c>
      <c r="AQ60" s="46">
        <f t="shared" si="37"/>
        <v>3.4501095595447541E-2</v>
      </c>
    </row>
    <row r="61" spans="2:43">
      <c r="B61" s="42" t="s">
        <v>64</v>
      </c>
      <c r="C61" s="60">
        <v>5887.9</v>
      </c>
      <c r="D61" s="65">
        <f t="shared" si="40"/>
        <v>4818.9000000000005</v>
      </c>
      <c r="E61" s="60">
        <f t="shared" si="2"/>
        <v>1068.9999999999991</v>
      </c>
      <c r="F61" s="60">
        <f t="shared" si="3"/>
        <v>1068.9999999999991</v>
      </c>
      <c r="G61" s="60">
        <f t="shared" si="4"/>
        <v>1142760.9999999981</v>
      </c>
      <c r="H61" s="46">
        <f t="shared" si="5"/>
        <v>0.18155879006097236</v>
      </c>
      <c r="I61" s="65">
        <f t="shared" si="6"/>
        <v>4904.55</v>
      </c>
      <c r="J61" s="60">
        <f t="shared" si="7"/>
        <v>983.34999999999945</v>
      </c>
      <c r="K61" s="60">
        <f t="shared" si="8"/>
        <v>983.34999999999945</v>
      </c>
      <c r="L61" s="60">
        <f t="shared" si="9"/>
        <v>966977.22249999898</v>
      </c>
      <c r="M61" s="46">
        <f t="shared" si="10"/>
        <v>0.16701200767676072</v>
      </c>
      <c r="N61" s="65">
        <f t="shared" si="39"/>
        <v>4904.55</v>
      </c>
      <c r="O61" s="60">
        <f t="shared" si="11"/>
        <v>983.34999999999945</v>
      </c>
      <c r="P61" s="60">
        <f t="shared" si="12"/>
        <v>983.34999999999945</v>
      </c>
      <c r="Q61" s="60">
        <f t="shared" si="13"/>
        <v>966977.22249999898</v>
      </c>
      <c r="R61" s="46">
        <f t="shared" si="14"/>
        <v>0.16701200767676072</v>
      </c>
      <c r="S61" s="61">
        <f t="shared" si="38"/>
        <v>5141.3995914655661</v>
      </c>
      <c r="T61" s="60">
        <f t="shared" si="15"/>
        <v>746.50040853443352</v>
      </c>
      <c r="U61" s="60">
        <f t="shared" si="16"/>
        <v>746.50040853443352</v>
      </c>
      <c r="V61" s="60">
        <f t="shared" si="17"/>
        <v>557262.85994207615</v>
      </c>
      <c r="W61" s="46">
        <f t="shared" si="18"/>
        <v>0.12678551071425018</v>
      </c>
      <c r="X61" s="61">
        <f t="shared" si="19"/>
        <v>5587.3507947637099</v>
      </c>
      <c r="Y61" s="61">
        <f t="shared" si="20"/>
        <v>-0.12264150943396226</v>
      </c>
      <c r="Z61" s="61">
        <f t="shared" si="21"/>
        <v>5141.1916698854047</v>
      </c>
      <c r="AA61" s="60">
        <f t="shared" si="22"/>
        <v>746.7083301145949</v>
      </c>
      <c r="AB61" s="60">
        <f t="shared" si="23"/>
        <v>746.7083301145949</v>
      </c>
      <c r="AC61" s="60">
        <f t="shared" si="24"/>
        <v>557573.33026252687</v>
      </c>
      <c r="AD61" s="46">
        <f t="shared" si="25"/>
        <v>0.12682082408237147</v>
      </c>
      <c r="AE61" s="61">
        <f t="shared" si="26"/>
        <v>5889.6371825827709</v>
      </c>
      <c r="AF61" s="61">
        <f t="shared" si="27"/>
        <v>0</v>
      </c>
      <c r="AG61" s="61">
        <f t="shared" si="28"/>
        <v>0.97105947832776018</v>
      </c>
      <c r="AH61" s="61">
        <f t="shared" si="29"/>
        <v>5067.9050439739958</v>
      </c>
      <c r="AI61" s="60">
        <f t="shared" si="30"/>
        <v>819.99495602600382</v>
      </c>
      <c r="AJ61" s="60">
        <f t="shared" si="31"/>
        <v>819.99495602600382</v>
      </c>
      <c r="AK61" s="60">
        <f t="shared" si="32"/>
        <v>672391.72790808789</v>
      </c>
      <c r="AL61" s="46">
        <f t="shared" si="33"/>
        <v>0.13926781297678356</v>
      </c>
      <c r="AM61" s="68">
        <v>5236.80724617128</v>
      </c>
      <c r="AN61" s="60">
        <f t="shared" si="34"/>
        <v>651.09275382871965</v>
      </c>
      <c r="AO61" s="60">
        <f t="shared" si="35"/>
        <v>651.09275382871965</v>
      </c>
      <c r="AP61" s="60">
        <f t="shared" si="36"/>
        <v>423921.77408826572</v>
      </c>
      <c r="AQ61" s="46">
        <f t="shared" si="37"/>
        <v>0.11058148980599529</v>
      </c>
    </row>
    <row r="62" spans="2:43">
      <c r="B62" s="42" t="s">
        <v>65</v>
      </c>
      <c r="C62" s="60">
        <v>6201.3</v>
      </c>
      <c r="D62" s="65">
        <f t="shared" si="40"/>
        <v>5406.0333333333338</v>
      </c>
      <c r="E62" s="60">
        <f t="shared" si="2"/>
        <v>795.26666666666642</v>
      </c>
      <c r="F62" s="60">
        <f t="shared" si="3"/>
        <v>795.26666666666642</v>
      </c>
      <c r="G62" s="60">
        <f t="shared" si="4"/>
        <v>632449.07111111074</v>
      </c>
      <c r="H62" s="46">
        <f t="shared" si="5"/>
        <v>0.12824192776783358</v>
      </c>
      <c r="I62" s="65">
        <f t="shared" si="6"/>
        <v>5436.15</v>
      </c>
      <c r="J62" s="60">
        <f t="shared" si="7"/>
        <v>765.15000000000055</v>
      </c>
      <c r="K62" s="60">
        <f t="shared" si="8"/>
        <v>765.15000000000055</v>
      </c>
      <c r="L62" s="60">
        <f t="shared" si="9"/>
        <v>585454.52250000078</v>
      </c>
      <c r="M62" s="46">
        <f t="shared" si="10"/>
        <v>0.12338541918629974</v>
      </c>
      <c r="N62" s="65">
        <f t="shared" si="39"/>
        <v>5436.15</v>
      </c>
      <c r="O62" s="60">
        <f t="shared" si="11"/>
        <v>765.15000000000055</v>
      </c>
      <c r="P62" s="60">
        <f t="shared" si="12"/>
        <v>765.15000000000055</v>
      </c>
      <c r="Q62" s="60">
        <f t="shared" si="13"/>
        <v>585454.52250000078</v>
      </c>
      <c r="R62" s="46">
        <f t="shared" si="14"/>
        <v>0.12338541918629974</v>
      </c>
      <c r="S62" s="61">
        <f t="shared" si="38"/>
        <v>5587.4443752977477</v>
      </c>
      <c r="T62" s="60">
        <f t="shared" si="15"/>
        <v>613.8556247022525</v>
      </c>
      <c r="U62" s="60">
        <f t="shared" si="16"/>
        <v>613.8556247022525</v>
      </c>
      <c r="V62" s="60">
        <f t="shared" si="17"/>
        <v>376818.72797859268</v>
      </c>
      <c r="W62" s="46">
        <f t="shared" si="18"/>
        <v>9.8988216132464557E-2</v>
      </c>
      <c r="X62" s="61">
        <f t="shared" si="19"/>
        <v>5954.1368198743885</v>
      </c>
      <c r="Y62" s="61">
        <f t="shared" si="20"/>
        <v>-0.12264150943396226</v>
      </c>
      <c r="Z62" s="61">
        <f t="shared" si="21"/>
        <v>5587.2281532542756</v>
      </c>
      <c r="AA62" s="60">
        <f t="shared" si="22"/>
        <v>614.07184674572454</v>
      </c>
      <c r="AB62" s="60">
        <f t="shared" si="23"/>
        <v>614.07184674572454</v>
      </c>
      <c r="AC62" s="60">
        <f t="shared" si="24"/>
        <v>377084.23296570464</v>
      </c>
      <c r="AD62" s="46">
        <f t="shared" si="25"/>
        <v>9.9023083344738125E-2</v>
      </c>
      <c r="AE62" s="61">
        <f t="shared" si="26"/>
        <v>5857.0906080138075</v>
      </c>
      <c r="AF62" s="61">
        <f t="shared" si="27"/>
        <v>0</v>
      </c>
      <c r="AG62" s="61">
        <f t="shared" si="28"/>
        <v>1.0607973311212426</v>
      </c>
      <c r="AH62" s="61">
        <f t="shared" si="29"/>
        <v>6259.070226322875</v>
      </c>
      <c r="AI62" s="60">
        <f t="shared" si="30"/>
        <v>-57.770226322874805</v>
      </c>
      <c r="AJ62" s="60">
        <f t="shared" si="31"/>
        <v>57.770226322874805</v>
      </c>
      <c r="AK62" s="60">
        <f t="shared" si="32"/>
        <v>3337.3990493961769</v>
      </c>
      <c r="AL62" s="46">
        <f t="shared" si="33"/>
        <v>9.3158251210028221E-3</v>
      </c>
      <c r="AM62" s="68">
        <v>6144.5742833618297</v>
      </c>
      <c r="AN62" s="60">
        <f t="shared" si="34"/>
        <v>56.725716638170525</v>
      </c>
      <c r="AO62" s="60">
        <f t="shared" si="35"/>
        <v>56.725716638170525</v>
      </c>
      <c r="AP62" s="60">
        <f t="shared" si="36"/>
        <v>3217.8069281140165</v>
      </c>
      <c r="AQ62" s="46">
        <f t="shared" si="37"/>
        <v>9.1473911338220242E-3</v>
      </c>
    </row>
    <row r="63" spans="2:43">
      <c r="B63" s="42" t="s">
        <v>140</v>
      </c>
      <c r="C63" s="60">
        <v>6009.2000000000007</v>
      </c>
      <c r="D63" s="65">
        <f t="shared" si="40"/>
        <v>5275.333333333333</v>
      </c>
      <c r="E63" s="60">
        <f t="shared" si="2"/>
        <v>733.8666666666677</v>
      </c>
      <c r="F63" s="60">
        <f t="shared" si="3"/>
        <v>733.8666666666677</v>
      </c>
      <c r="G63" s="60">
        <f t="shared" si="4"/>
        <v>538560.28444444598</v>
      </c>
      <c r="H63" s="46">
        <f t="shared" si="5"/>
        <v>0.12212385453415889</v>
      </c>
      <c r="I63" s="65">
        <f t="shared" si="6"/>
        <v>5631.95</v>
      </c>
      <c r="J63" s="60">
        <f t="shared" si="7"/>
        <v>377.25000000000091</v>
      </c>
      <c r="K63" s="60">
        <f t="shared" si="8"/>
        <v>377.25000000000091</v>
      </c>
      <c r="L63" s="60">
        <f t="shared" si="9"/>
        <v>142317.5625000007</v>
      </c>
      <c r="M63" s="46">
        <f t="shared" si="10"/>
        <v>6.2778739266458244E-2</v>
      </c>
      <c r="N63" s="65">
        <f t="shared" si="39"/>
        <v>5631.95</v>
      </c>
      <c r="O63" s="60">
        <f t="shared" si="11"/>
        <v>377.25000000000091</v>
      </c>
      <c r="P63" s="60">
        <f t="shared" si="12"/>
        <v>377.25000000000091</v>
      </c>
      <c r="Q63" s="60">
        <f t="shared" si="13"/>
        <v>142317.5625000007</v>
      </c>
      <c r="R63" s="46">
        <f t="shared" si="14"/>
        <v>6.2778739266458244E-2</v>
      </c>
      <c r="S63" s="61">
        <f t="shared" si="38"/>
        <v>5954.2319835751987</v>
      </c>
      <c r="T63" s="60">
        <f t="shared" si="15"/>
        <v>54.968016424802045</v>
      </c>
      <c r="U63" s="60">
        <f t="shared" si="16"/>
        <v>54.968016424802045</v>
      </c>
      <c r="V63" s="60">
        <f t="shared" si="17"/>
        <v>3021.4828296773076</v>
      </c>
      <c r="W63" s="46">
        <f t="shared" si="18"/>
        <v>9.1473101951677488E-3</v>
      </c>
      <c r="X63" s="61">
        <f t="shared" si="19"/>
        <v>5986.9877731320084</v>
      </c>
      <c r="Y63" s="61">
        <f t="shared" si="20"/>
        <v>-0.12264150943396226</v>
      </c>
      <c r="Z63" s="61">
        <f t="shared" si="21"/>
        <v>5954.0141783649542</v>
      </c>
      <c r="AA63" s="60">
        <f t="shared" si="22"/>
        <v>55.185821635046523</v>
      </c>
      <c r="AB63" s="60">
        <f t="shared" si="23"/>
        <v>55.185821635046523</v>
      </c>
      <c r="AC63" s="60">
        <f t="shared" si="24"/>
        <v>3045.474909535169</v>
      </c>
      <c r="AD63" s="46">
        <f t="shared" si="25"/>
        <v>9.1835554874270305E-3</v>
      </c>
      <c r="AE63" s="61">
        <f t="shared" si="26"/>
        <v>5911.5383052304715</v>
      </c>
      <c r="AF63" s="61">
        <f t="shared" si="27"/>
        <v>0</v>
      </c>
      <c r="AG63" s="61">
        <f t="shared" si="28"/>
        <v>1.0133228435075592</v>
      </c>
      <c r="AH63" s="61">
        <f t="shared" si="29"/>
        <v>5917.3243449800921</v>
      </c>
      <c r="AI63" s="60">
        <f t="shared" si="30"/>
        <v>91.875655019908663</v>
      </c>
      <c r="AJ63" s="60">
        <f t="shared" si="31"/>
        <v>91.875655019908663</v>
      </c>
      <c r="AK63" s="60">
        <f t="shared" si="32"/>
        <v>8441.1359853372687</v>
      </c>
      <c r="AL63" s="46">
        <f t="shared" si="33"/>
        <v>1.5289165782451682E-2</v>
      </c>
      <c r="AM63" s="68">
        <v>6083.46202030316</v>
      </c>
      <c r="AN63" s="60">
        <f t="shared" si="34"/>
        <v>-74.262020303159261</v>
      </c>
      <c r="AO63" s="60">
        <f t="shared" si="35"/>
        <v>74.262020303159261</v>
      </c>
      <c r="AP63" s="60">
        <f t="shared" si="36"/>
        <v>5514.8476595068387</v>
      </c>
      <c r="AQ63" s="46">
        <f t="shared" si="37"/>
        <v>1.2358054367163558E-2</v>
      </c>
    </row>
    <row r="64" spans="2:43">
      <c r="B64" s="42" t="s">
        <v>70</v>
      </c>
      <c r="C64" s="60">
        <v>5665.6</v>
      </c>
      <c r="D64" s="65">
        <f t="shared" si="40"/>
        <v>4931.5333333333338</v>
      </c>
      <c r="E64" s="60">
        <f t="shared" si="2"/>
        <v>734.06666666666661</v>
      </c>
      <c r="F64" s="60">
        <f t="shared" si="3"/>
        <v>734.06666666666661</v>
      </c>
      <c r="G64" s="60">
        <f t="shared" si="4"/>
        <v>538853.87111111102</v>
      </c>
      <c r="H64" s="46">
        <f t="shared" si="5"/>
        <v>0.12956556528287677</v>
      </c>
      <c r="I64" s="65">
        <f t="shared" si="6"/>
        <v>5805.75</v>
      </c>
      <c r="J64" s="60">
        <f t="shared" si="7"/>
        <v>-140.14999999999964</v>
      </c>
      <c r="K64" s="60">
        <f t="shared" si="8"/>
        <v>140.14999999999964</v>
      </c>
      <c r="L64" s="60">
        <f t="shared" si="9"/>
        <v>19642.022499999897</v>
      </c>
      <c r="M64" s="46">
        <f t="shared" si="10"/>
        <v>2.4737009319401232E-2</v>
      </c>
      <c r="N64" s="65">
        <f t="shared" si="39"/>
        <v>5805.75</v>
      </c>
      <c r="O64" s="60">
        <f t="shared" si="11"/>
        <v>-140.14999999999964</v>
      </c>
      <c r="P64" s="60">
        <f t="shared" si="12"/>
        <v>140.14999999999964</v>
      </c>
      <c r="Q64" s="60">
        <f t="shared" si="13"/>
        <v>19642.022499999897</v>
      </c>
      <c r="R64" s="46">
        <f t="shared" si="14"/>
        <v>2.4737009319401232E-2</v>
      </c>
      <c r="S64" s="61">
        <f t="shared" si="38"/>
        <v>5987.076167883175</v>
      </c>
      <c r="T64" s="60">
        <f t="shared" si="15"/>
        <v>-321.47616788317464</v>
      </c>
      <c r="U64" s="60">
        <f t="shared" si="16"/>
        <v>321.47616788317464</v>
      </c>
      <c r="V64" s="60">
        <f t="shared" si="17"/>
        <v>103346.92651685109</v>
      </c>
      <c r="W64" s="46">
        <f t="shared" si="18"/>
        <v>5.6741769253596197E-2</v>
      </c>
      <c r="X64" s="61">
        <f t="shared" si="19"/>
        <v>5794.9088292780652</v>
      </c>
      <c r="Y64" s="61">
        <f t="shared" si="20"/>
        <v>-0.12264150943396226</v>
      </c>
      <c r="Z64" s="61">
        <f t="shared" si="21"/>
        <v>5986.8651316225742</v>
      </c>
      <c r="AA64" s="60">
        <f t="shared" si="22"/>
        <v>-321.26513162257379</v>
      </c>
      <c r="AB64" s="60">
        <f t="shared" si="23"/>
        <v>321.26513162257379</v>
      </c>
      <c r="AC64" s="60">
        <f t="shared" si="24"/>
        <v>103211.28479646966</v>
      </c>
      <c r="AD64" s="46">
        <f t="shared" si="25"/>
        <v>5.670452054902813E-2</v>
      </c>
      <c r="AE64" s="61">
        <f t="shared" si="26"/>
        <v>5971.4848322567559</v>
      </c>
      <c r="AF64" s="61">
        <f t="shared" si="27"/>
        <v>0</v>
      </c>
      <c r="AG64" s="61">
        <f t="shared" si="28"/>
        <v>0.94552453833132044</v>
      </c>
      <c r="AH64" s="61">
        <f t="shared" si="29"/>
        <v>5571.238941500791</v>
      </c>
      <c r="AI64" s="60">
        <f t="shared" si="30"/>
        <v>94.361058499209321</v>
      </c>
      <c r="AJ64" s="60">
        <f t="shared" si="31"/>
        <v>94.361058499209321</v>
      </c>
      <c r="AK64" s="60">
        <f t="shared" si="32"/>
        <v>8904.0093610912045</v>
      </c>
      <c r="AL64" s="46">
        <f t="shared" si="33"/>
        <v>1.6655086574980462E-2</v>
      </c>
      <c r="AM64" s="68">
        <v>5649.1134789403995</v>
      </c>
      <c r="AN64" s="60">
        <f t="shared" si="34"/>
        <v>16.486521059600818</v>
      </c>
      <c r="AO64" s="60">
        <f t="shared" si="35"/>
        <v>16.486521059600818</v>
      </c>
      <c r="AP64" s="60">
        <f t="shared" si="36"/>
        <v>271.80537664866131</v>
      </c>
      <c r="AQ64" s="46">
        <f t="shared" si="37"/>
        <v>2.9099338215900906E-3</v>
      </c>
    </row>
    <row r="65" spans="1:43">
      <c r="B65" s="42" t="s">
        <v>72</v>
      </c>
      <c r="C65" s="60">
        <v>5718.4</v>
      </c>
      <c r="D65" s="65">
        <f t="shared" si="40"/>
        <v>4996.8999999999996</v>
      </c>
      <c r="E65" s="60">
        <f t="shared" si="2"/>
        <v>721.5</v>
      </c>
      <c r="F65" s="60">
        <f t="shared" si="3"/>
        <v>721.5</v>
      </c>
      <c r="G65" s="60">
        <f t="shared" si="4"/>
        <v>520562.25</v>
      </c>
      <c r="H65" s="46">
        <f t="shared" si="5"/>
        <v>0.1261716564073867</v>
      </c>
      <c r="I65" s="65">
        <f t="shared" si="6"/>
        <v>5941</v>
      </c>
      <c r="J65" s="60">
        <f t="shared" si="7"/>
        <v>-222.60000000000036</v>
      </c>
      <c r="K65" s="60">
        <f t="shared" si="8"/>
        <v>222.60000000000036</v>
      </c>
      <c r="L65" s="60">
        <f t="shared" si="9"/>
        <v>49550.760000000162</v>
      </c>
      <c r="M65" s="46">
        <f t="shared" si="10"/>
        <v>3.8926972579742654E-2</v>
      </c>
      <c r="N65" s="65">
        <f t="shared" si="39"/>
        <v>5941</v>
      </c>
      <c r="O65" s="60">
        <f t="shared" si="11"/>
        <v>-222.60000000000036</v>
      </c>
      <c r="P65" s="60">
        <f t="shared" si="12"/>
        <v>222.60000000000036</v>
      </c>
      <c r="Q65" s="60">
        <f t="shared" si="13"/>
        <v>49550.760000000162</v>
      </c>
      <c r="R65" s="46">
        <f t="shared" si="14"/>
        <v>3.8926972579742654E-2</v>
      </c>
      <c r="S65" s="61">
        <f t="shared" si="38"/>
        <v>5794.9895110357065</v>
      </c>
      <c r="T65" s="60">
        <f t="shared" si="15"/>
        <v>-76.589511035706892</v>
      </c>
      <c r="U65" s="60">
        <f t="shared" si="16"/>
        <v>76.589511035706892</v>
      </c>
      <c r="V65" s="60">
        <f t="shared" si="17"/>
        <v>5865.9532006886675</v>
      </c>
      <c r="W65" s="46">
        <f t="shared" si="18"/>
        <v>1.3393521096059544E-2</v>
      </c>
      <c r="X65" s="61">
        <f t="shared" si="19"/>
        <v>5749.1453487513236</v>
      </c>
      <c r="Y65" s="61">
        <f t="shared" si="20"/>
        <v>-0.12264150943396226</v>
      </c>
      <c r="Z65" s="61">
        <f t="shared" si="21"/>
        <v>5794.786187768631</v>
      </c>
      <c r="AA65" s="60">
        <f t="shared" si="22"/>
        <v>-76.386187768631316</v>
      </c>
      <c r="AB65" s="60">
        <f t="shared" si="23"/>
        <v>76.386187768631316</v>
      </c>
      <c r="AC65" s="60">
        <f t="shared" si="24"/>
        <v>5834.8496818246003</v>
      </c>
      <c r="AD65" s="46">
        <f t="shared" si="25"/>
        <v>1.3357965124620754E-2</v>
      </c>
      <c r="AE65" s="61">
        <f t="shared" si="26"/>
        <v>5921.9952932474334</v>
      </c>
      <c r="AF65" s="61">
        <f t="shared" si="27"/>
        <v>0</v>
      </c>
      <c r="AG65" s="61">
        <f t="shared" si="28"/>
        <v>0.96840920114049767</v>
      </c>
      <c r="AH65" s="61">
        <f t="shared" si="29"/>
        <v>5798.6669460533776</v>
      </c>
      <c r="AI65" s="60">
        <f t="shared" si="30"/>
        <v>-80.266946053377978</v>
      </c>
      <c r="AJ65" s="60">
        <f t="shared" si="31"/>
        <v>80.266946053377978</v>
      </c>
      <c r="AK65" s="60">
        <f t="shared" si="32"/>
        <v>6442.7826287358903</v>
      </c>
      <c r="AL65" s="46">
        <f t="shared" si="33"/>
        <v>1.4036609200716631E-2</v>
      </c>
      <c r="AM65" s="68">
        <v>5835.0671246066204</v>
      </c>
      <c r="AN65" s="60">
        <f t="shared" si="34"/>
        <v>-116.66712460662075</v>
      </c>
      <c r="AO65" s="60">
        <f t="shared" si="35"/>
        <v>116.66712460662075</v>
      </c>
      <c r="AP65" s="60">
        <f t="shared" si="36"/>
        <v>13611.217963976773</v>
      </c>
      <c r="AQ65" s="46">
        <f t="shared" si="37"/>
        <v>2.0402057324884714E-2</v>
      </c>
    </row>
    <row r="66" spans="1:43">
      <c r="B66" s="42" t="s">
        <v>73</v>
      </c>
      <c r="C66" s="60">
        <v>5872.1</v>
      </c>
      <c r="D66" s="65">
        <f t="shared" si="40"/>
        <v>5683.333333333333</v>
      </c>
      <c r="E66" s="60">
        <f t="shared" si="2"/>
        <v>188.76666666666733</v>
      </c>
      <c r="F66" s="60">
        <f t="shared" si="3"/>
        <v>188.76666666666733</v>
      </c>
      <c r="G66" s="60">
        <f t="shared" si="4"/>
        <v>35632.854444444696</v>
      </c>
      <c r="H66" s="46">
        <f t="shared" si="5"/>
        <v>3.2146364446563803E-2</v>
      </c>
      <c r="I66" s="65">
        <f t="shared" si="6"/>
        <v>5898.625</v>
      </c>
      <c r="J66" s="60">
        <f t="shared" si="7"/>
        <v>-26.524999999999636</v>
      </c>
      <c r="K66" s="60">
        <f t="shared" si="8"/>
        <v>26.524999999999636</v>
      </c>
      <c r="L66" s="60">
        <f t="shared" si="9"/>
        <v>703.57562499998073</v>
      </c>
      <c r="M66" s="46">
        <f t="shared" si="10"/>
        <v>4.517123345992002E-3</v>
      </c>
      <c r="N66" s="65">
        <f t="shared" si="39"/>
        <v>5898.625</v>
      </c>
      <c r="O66" s="60">
        <f t="shared" si="11"/>
        <v>-26.524999999999636</v>
      </c>
      <c r="P66" s="60">
        <f t="shared" si="12"/>
        <v>26.524999999999636</v>
      </c>
      <c r="Q66" s="60">
        <f t="shared" si="13"/>
        <v>703.57562499998073</v>
      </c>
      <c r="R66" s="46">
        <f t="shared" si="14"/>
        <v>4.517123345992002E-3</v>
      </c>
      <c r="S66" s="61">
        <f t="shared" si="38"/>
        <v>5749.2261711859619</v>
      </c>
      <c r="T66" s="60">
        <f t="shared" si="15"/>
        <v>122.87382881403846</v>
      </c>
      <c r="U66" s="60">
        <f t="shared" si="16"/>
        <v>122.87382881403846</v>
      </c>
      <c r="V66" s="60">
        <f t="shared" si="17"/>
        <v>15097.977807421628</v>
      </c>
      <c r="W66" s="46">
        <f t="shared" si="18"/>
        <v>2.0925023213848273E-2</v>
      </c>
      <c r="X66" s="61">
        <f t="shared" si="19"/>
        <v>5822.5615376188352</v>
      </c>
      <c r="Y66" s="61">
        <f t="shared" si="20"/>
        <v>-0.12264150943396226</v>
      </c>
      <c r="Z66" s="61">
        <f t="shared" si="21"/>
        <v>5749.0227072418893</v>
      </c>
      <c r="AA66" s="60">
        <f t="shared" si="22"/>
        <v>123.07729275811107</v>
      </c>
      <c r="AB66" s="60">
        <f t="shared" si="23"/>
        <v>123.07729275811107</v>
      </c>
      <c r="AC66" s="60">
        <f t="shared" si="24"/>
        <v>15148.019992665781</v>
      </c>
      <c r="AD66" s="46">
        <f t="shared" si="25"/>
        <v>2.0959672478008048E-2</v>
      </c>
      <c r="AE66" s="61">
        <f t="shared" si="26"/>
        <v>5690.6253229032845</v>
      </c>
      <c r="AF66" s="61">
        <f t="shared" si="27"/>
        <v>0</v>
      </c>
      <c r="AG66" s="61">
        <f t="shared" si="28"/>
        <v>1.0467115954817223</v>
      </c>
      <c r="AH66" s="61">
        <f t="shared" si="29"/>
        <v>6282.0368019894377</v>
      </c>
      <c r="AI66" s="60">
        <f t="shared" si="30"/>
        <v>-409.9368019894373</v>
      </c>
      <c r="AJ66" s="60">
        <f t="shared" si="31"/>
        <v>409.9368019894373</v>
      </c>
      <c r="AK66" s="60">
        <f t="shared" si="32"/>
        <v>168048.18162532712</v>
      </c>
      <c r="AL66" s="46">
        <f t="shared" si="33"/>
        <v>6.9810936801048565E-2</v>
      </c>
      <c r="AM66" s="68">
        <v>6158.4077548921196</v>
      </c>
      <c r="AN66" s="60">
        <f t="shared" si="34"/>
        <v>-286.30775489211919</v>
      </c>
      <c r="AO66" s="60">
        <f t="shared" si="35"/>
        <v>286.30775489211919</v>
      </c>
      <c r="AP66" s="60">
        <f t="shared" si="36"/>
        <v>81972.130511365802</v>
      </c>
      <c r="AQ66" s="46">
        <f t="shared" si="37"/>
        <v>4.8757302309585866E-2</v>
      </c>
    </row>
    <row r="67" spans="1:43">
      <c r="B67" s="42" t="s">
        <v>74</v>
      </c>
      <c r="C67" s="60">
        <v>5966.9000000000015</v>
      </c>
      <c r="D67" s="65">
        <f t="shared" si="40"/>
        <v>5557.3999999999987</v>
      </c>
      <c r="E67" s="60">
        <f t="shared" si="2"/>
        <v>409.50000000000273</v>
      </c>
      <c r="F67" s="60">
        <f t="shared" si="3"/>
        <v>409.50000000000273</v>
      </c>
      <c r="G67" s="60">
        <f t="shared" si="4"/>
        <v>167690.25000000224</v>
      </c>
      <c r="H67" s="46">
        <f t="shared" si="5"/>
        <v>6.8628601116157914E-2</v>
      </c>
      <c r="I67" s="65">
        <f t="shared" si="6"/>
        <v>5816.3250000000007</v>
      </c>
      <c r="J67" s="60">
        <f t="shared" si="7"/>
        <v>150.57500000000073</v>
      </c>
      <c r="K67" s="60">
        <f t="shared" si="8"/>
        <v>150.57500000000073</v>
      </c>
      <c r="L67" s="60">
        <f t="shared" si="9"/>
        <v>22672.830625000221</v>
      </c>
      <c r="M67" s="46">
        <f t="shared" si="10"/>
        <v>2.5235046674152523E-2</v>
      </c>
      <c r="N67" s="65">
        <f t="shared" si="39"/>
        <v>5816.3250000000007</v>
      </c>
      <c r="O67" s="60">
        <f t="shared" si="11"/>
        <v>150.57500000000073</v>
      </c>
      <c r="P67" s="60">
        <f t="shared" si="12"/>
        <v>150.57500000000073</v>
      </c>
      <c r="Q67" s="60">
        <f t="shared" si="13"/>
        <v>22672.830625000221</v>
      </c>
      <c r="R67" s="46">
        <f t="shared" si="14"/>
        <v>2.5235046674152523E-2</v>
      </c>
      <c r="S67" s="61">
        <f t="shared" si="38"/>
        <v>5822.6450598903775</v>
      </c>
      <c r="T67" s="60">
        <f t="shared" si="15"/>
        <v>144.25494010962393</v>
      </c>
      <c r="U67" s="60">
        <f t="shared" si="16"/>
        <v>144.25494010962393</v>
      </c>
      <c r="V67" s="60">
        <f t="shared" si="17"/>
        <v>20809.487746031187</v>
      </c>
      <c r="W67" s="46">
        <f t="shared" si="18"/>
        <v>2.4175860180265112E-2</v>
      </c>
      <c r="X67" s="61">
        <f t="shared" si="19"/>
        <v>5908.7545793439685</v>
      </c>
      <c r="Y67" s="61">
        <f t="shared" si="20"/>
        <v>-0.12264150943396226</v>
      </c>
      <c r="Z67" s="61">
        <f t="shared" si="21"/>
        <v>5822.438896109401</v>
      </c>
      <c r="AA67" s="60">
        <f t="shared" si="22"/>
        <v>144.4611038906005</v>
      </c>
      <c r="AB67" s="60">
        <f t="shared" si="23"/>
        <v>144.4611038906005</v>
      </c>
      <c r="AC67" s="60">
        <f t="shared" si="24"/>
        <v>20869.010537290869</v>
      </c>
      <c r="AD67" s="46">
        <f t="shared" si="25"/>
        <v>2.4210411418089873E-2</v>
      </c>
      <c r="AE67" s="61">
        <f t="shared" si="26"/>
        <v>5809.0660380202989</v>
      </c>
      <c r="AF67" s="61">
        <f t="shared" si="27"/>
        <v>0</v>
      </c>
      <c r="AG67" s="61">
        <f t="shared" si="28"/>
        <v>1.0200703398299598</v>
      </c>
      <c r="AH67" s="61">
        <f t="shared" si="29"/>
        <v>5766.4406335404783</v>
      </c>
      <c r="AI67" s="60">
        <f t="shared" si="30"/>
        <v>200.45936645952315</v>
      </c>
      <c r="AJ67" s="60">
        <f t="shared" si="31"/>
        <v>200.45936645952315</v>
      </c>
      <c r="AK67" s="60">
        <f t="shared" si="32"/>
        <v>40183.957601353395</v>
      </c>
      <c r="AL67" s="46">
        <f t="shared" si="33"/>
        <v>3.3595228084855301E-2</v>
      </c>
      <c r="AM67" s="68">
        <v>5823.2904783169597</v>
      </c>
      <c r="AN67" s="60">
        <f t="shared" si="34"/>
        <v>143.60952168304175</v>
      </c>
      <c r="AO67" s="60">
        <f t="shared" si="35"/>
        <v>143.60952168304175</v>
      </c>
      <c r="AP67" s="60">
        <f t="shared" si="36"/>
        <v>20623.694718032039</v>
      </c>
      <c r="AQ67" s="46">
        <f t="shared" si="37"/>
        <v>2.4067693724218894E-2</v>
      </c>
    </row>
    <row r="68" spans="1:43">
      <c r="C68" s="60"/>
      <c r="D68" s="60"/>
      <c r="E68" s="62" t="s">
        <v>163</v>
      </c>
      <c r="F68" s="63">
        <f>AVERAGE(F16:F67)</f>
        <v>587.83141025641021</v>
      </c>
      <c r="G68" s="63">
        <f>SQRT(AVERAGE(G16:G67))</f>
        <v>665.17338227179982</v>
      </c>
      <c r="H68" s="48">
        <f>AVERAGE(H16:H67)</f>
        <v>0.10084275106436105</v>
      </c>
      <c r="I68" s="60"/>
      <c r="J68" s="62" t="s">
        <v>163</v>
      </c>
      <c r="K68" s="63">
        <f>AVERAGE(K16:K67)</f>
        <v>319.02788461538449</v>
      </c>
      <c r="L68" s="63">
        <f>SQRT(AVERAGE(L16:L67))</f>
        <v>425.69766918892623</v>
      </c>
      <c r="M68" s="48">
        <f>AVERAGE(M16:M67)</f>
        <v>5.6219978523431864E-2</v>
      </c>
      <c r="N68" s="60"/>
      <c r="O68" s="62" t="s">
        <v>163</v>
      </c>
      <c r="P68" s="63">
        <f>AVERAGE(P16:P67)</f>
        <v>319.02788461538449</v>
      </c>
      <c r="Q68" s="63">
        <f>SQRT(AVERAGE(Q16:Q67))</f>
        <v>425.69766918892623</v>
      </c>
      <c r="R68" s="48">
        <f>AVERAGE(R16:R67)</f>
        <v>5.6219978523431864E-2</v>
      </c>
      <c r="S68" s="60"/>
      <c r="T68" s="62" t="s">
        <v>163</v>
      </c>
      <c r="U68" s="63">
        <f>AVERAGE(U16:U67)</f>
        <v>324.73486814916885</v>
      </c>
      <c r="V68" s="63">
        <f>SQRT(AVERAGE(V16:V67))</f>
        <v>416.90029914626007</v>
      </c>
      <c r="W68" s="48">
        <f>AVERAGE(W16:W67)</f>
        <v>5.6445459086104426E-2</v>
      </c>
      <c r="X68" s="64"/>
      <c r="Y68" s="64"/>
      <c r="Z68" s="60"/>
      <c r="AA68" s="62" t="s">
        <v>163</v>
      </c>
      <c r="AB68" s="63">
        <f>AVERAGE(AB16:AB67)</f>
        <v>324.7345482209418</v>
      </c>
      <c r="AC68" s="63">
        <f>SQRT(AVERAGE(AC16:AC67))</f>
        <v>416.90009794708038</v>
      </c>
      <c r="AD68" s="48">
        <f>AVERAGE(AD16:AD67)</f>
        <v>5.6444224489868002E-2</v>
      </c>
      <c r="AE68" s="60"/>
      <c r="AF68" s="60"/>
      <c r="AG68" s="60"/>
      <c r="AH68" s="60"/>
      <c r="AI68" s="62" t="s">
        <v>163</v>
      </c>
      <c r="AJ68" s="63">
        <f>AVERAGE(AJ16:AJ67)</f>
        <v>240.30444442211632</v>
      </c>
      <c r="AK68" s="63">
        <f>SQRT(AVERAGE(AK16:AK67))</f>
        <v>366.68579138770639</v>
      </c>
      <c r="AL68" s="48">
        <f>AVERAGE(AL16:AL67)</f>
        <v>4.3119026756842101E-2</v>
      </c>
      <c r="AN68" s="62" t="s">
        <v>163</v>
      </c>
      <c r="AO68" s="63">
        <f>AVERAGE(AO16:AO67)</f>
        <v>233.32053425621268</v>
      </c>
      <c r="AP68" s="63">
        <f>SQRT(AVERAGE(AP16:AP67))</f>
        <v>346.700204713071</v>
      </c>
      <c r="AQ68" s="48">
        <f>AVERAGE(AQ16:AQ67)</f>
        <v>4.1397369173561259E-2</v>
      </c>
    </row>
    <row r="69" spans="1:43">
      <c r="C69" s="60"/>
      <c r="D69" s="60"/>
      <c r="E69" s="60"/>
      <c r="F69" s="60"/>
      <c r="G69" s="60"/>
      <c r="H69" s="59"/>
      <c r="I69" s="60"/>
      <c r="J69" s="60"/>
      <c r="K69" s="60"/>
      <c r="L69" s="60"/>
      <c r="N69" s="60"/>
      <c r="O69" s="60"/>
      <c r="P69" s="60"/>
      <c r="Q69" s="60"/>
      <c r="S69" s="60"/>
      <c r="T69" s="60"/>
      <c r="U69" s="60"/>
      <c r="V69" s="60"/>
      <c r="X69" s="60"/>
      <c r="Y69" s="60"/>
      <c r="Z69" s="60"/>
      <c r="AA69" s="60"/>
      <c r="AB69" s="60"/>
      <c r="AC69" s="60"/>
      <c r="AE69" s="60"/>
      <c r="AF69" s="60"/>
      <c r="AG69" s="60"/>
      <c r="AH69" s="60"/>
      <c r="AI69" s="60"/>
      <c r="AJ69" s="60"/>
      <c r="AK69" s="60"/>
    </row>
    <row r="70" spans="1:43">
      <c r="A70" s="51" t="s">
        <v>159</v>
      </c>
      <c r="B70" s="42" t="s">
        <v>78</v>
      </c>
      <c r="C70" s="60">
        <v>5897.8</v>
      </c>
      <c r="D70" s="60">
        <f>AVERAGE(C56,C60,C64)</f>
        <v>5168.2</v>
      </c>
      <c r="E70" s="60">
        <f t="shared" ref="E70:E77" si="41">C70-D70</f>
        <v>729.60000000000036</v>
      </c>
      <c r="F70" s="60">
        <f t="shared" si="3"/>
        <v>729.60000000000036</v>
      </c>
      <c r="G70" s="60">
        <f t="shared" si="4"/>
        <v>532316.1600000005</v>
      </c>
      <c r="H70" s="46">
        <f t="shared" ref="H70:H77" si="42">F70/C70</f>
        <v>0.12370714503713255</v>
      </c>
      <c r="I70" s="60">
        <f>AVERAGE(C64:C67)</f>
        <v>5805.75</v>
      </c>
      <c r="J70" s="60">
        <f>$C70-I70</f>
        <v>92.050000000000182</v>
      </c>
      <c r="K70" s="60">
        <f t="shared" ref="K70:K77" si="43">ABS(J70)</f>
        <v>92.050000000000182</v>
      </c>
      <c r="L70" s="60">
        <f t="shared" ref="L70:L77" si="44">J70^2</f>
        <v>8473.202500000034</v>
      </c>
      <c r="M70" s="46">
        <f>K70/$C70</f>
        <v>1.5607514666485838E-2</v>
      </c>
      <c r="N70" s="60">
        <f t="shared" ref="N70:N77" si="45">D70*$N$2+I70*(1-$N$2)</f>
        <v>5805.75</v>
      </c>
      <c r="O70" s="60">
        <f>$C70-N70</f>
        <v>92.050000000000182</v>
      </c>
      <c r="P70" s="60">
        <f t="shared" ref="P70:P77" si="46">ABS(O70)</f>
        <v>92.050000000000182</v>
      </c>
      <c r="Q70" s="60">
        <f t="shared" ref="Q70:Q77" si="47">O70^2</f>
        <v>8473.202500000034</v>
      </c>
      <c r="R70" s="46">
        <f>P70/$C70</f>
        <v>1.5607514666485838E-2</v>
      </c>
      <c r="S70" s="60">
        <f>C67*$S$2+S67*(1-$S$2)</f>
        <v>5908.8394716312168</v>
      </c>
      <c r="T70" s="60">
        <f>$C70-S70</f>
        <v>-11.039471631216657</v>
      </c>
      <c r="U70" s="60">
        <f t="shared" ref="U70:U77" si="48">ABS(T70)</f>
        <v>11.039471631216657</v>
      </c>
      <c r="V70" s="60">
        <f t="shared" ref="V70:V77" si="49">T70^2</f>
        <v>121.86993389643735</v>
      </c>
      <c r="W70" s="46">
        <f>U70/$C70</f>
        <v>1.8717948440463658E-3</v>
      </c>
      <c r="X70" s="60">
        <f>C70*$X$2+(1-$X$2)*(X67+Y67)</f>
        <v>5902.1598419570855</v>
      </c>
      <c r="Y70" s="60">
        <f>$Y$2*(X70-X67)+(1-$Y$2)*Y67</f>
        <v>-0.12264150943396226</v>
      </c>
      <c r="Z70" s="60">
        <f>X67+Y67</f>
        <v>5908.6319378345343</v>
      </c>
      <c r="AA70" s="60">
        <f>$C70-Z70</f>
        <v>-10.831937834534074</v>
      </c>
      <c r="AB70" s="60">
        <f t="shared" ref="AB70:AB77" si="50">ABS(AA70)</f>
        <v>10.831937834534074</v>
      </c>
      <c r="AC70" s="60">
        <f t="shared" ref="AC70:AC77" si="51">AA70^2</f>
        <v>117.33087725121072</v>
      </c>
      <c r="AD70" s="46">
        <f>AB70/$C70</f>
        <v>1.8366065031934066E-3</v>
      </c>
      <c r="AE70" s="60">
        <f>$AE$2*(C70/AG64)+(1-$AE$2)*(AE67+AF67)</f>
        <v>6065.6346998651461</v>
      </c>
      <c r="AF70" s="60">
        <f>$AF$2*(AE70-AE67)+(1-$AF$2)*AF67</f>
        <v>0</v>
      </c>
      <c r="AG70" s="60">
        <f>$AG$2*(C70/AE70)+(1-$AG$2)*AG64</f>
        <v>0.95858625556769861</v>
      </c>
      <c r="AH70" s="60">
        <f>(AE67+AF67)*AG64</f>
        <v>5492.6144837352958</v>
      </c>
      <c r="AI70" s="60">
        <f>$C70-AH70</f>
        <v>405.18551626470435</v>
      </c>
      <c r="AJ70" s="60">
        <f t="shared" ref="AJ70:AJ77" si="52">ABS(AI70)</f>
        <v>405.18551626470435</v>
      </c>
      <c r="AK70" s="60">
        <f t="shared" ref="AK70:AK77" si="53">AI70^2</f>
        <v>164175.30259069498</v>
      </c>
      <c r="AL70" s="46">
        <f>AJ70/$C70</f>
        <v>6.8701128601292738E-2</v>
      </c>
      <c r="AM70" s="60">
        <v>5541.2643013284196</v>
      </c>
      <c r="AN70" s="60">
        <f>$C70-AM70</f>
        <v>356.53569867158058</v>
      </c>
      <c r="AO70" s="60">
        <f t="shared" ref="AO70:AO77" si="54">ABS(AN70)</f>
        <v>356.53569867158058</v>
      </c>
      <c r="AP70" s="60">
        <f t="shared" ref="AP70:AP77" si="55">AN70^2</f>
        <v>127117.70442723211</v>
      </c>
      <c r="AQ70" s="46">
        <f>AO70/$C70</f>
        <v>6.0452320979277115E-2</v>
      </c>
    </row>
    <row r="71" spans="1:43">
      <c r="B71" s="42" t="s">
        <v>80</v>
      </c>
      <c r="C71" s="60">
        <v>6497.5</v>
      </c>
      <c r="D71" s="60">
        <f>AVERAGE(C57,C61,C65)</f>
        <v>5122.5999999999995</v>
      </c>
      <c r="E71" s="60">
        <f t="shared" si="41"/>
        <v>1374.9000000000005</v>
      </c>
      <c r="F71" s="60">
        <f t="shared" si="3"/>
        <v>1374.9000000000005</v>
      </c>
      <c r="G71" s="60">
        <f t="shared" si="4"/>
        <v>1890350.0100000014</v>
      </c>
      <c r="H71" s="46">
        <f t="shared" si="42"/>
        <v>0.21160446325509819</v>
      </c>
      <c r="I71" s="60">
        <f>AVERAGE(C65:C70)</f>
        <v>5863.8</v>
      </c>
      <c r="J71" s="60">
        <f t="shared" ref="J71:J77" si="56">$C71-I71</f>
        <v>633.69999999999982</v>
      </c>
      <c r="K71" s="60">
        <f t="shared" si="43"/>
        <v>633.69999999999982</v>
      </c>
      <c r="L71" s="60">
        <f t="shared" si="44"/>
        <v>401575.68999999977</v>
      </c>
      <c r="M71" s="46">
        <f t="shared" ref="M71:M77" si="57">K71/$C71</f>
        <v>9.7529819161215822E-2</v>
      </c>
      <c r="N71" s="60">
        <f t="shared" si="45"/>
        <v>5863.8</v>
      </c>
      <c r="O71" s="60">
        <f t="shared" ref="O71:O77" si="58">$C71-N71</f>
        <v>633.69999999999982</v>
      </c>
      <c r="P71" s="60">
        <f t="shared" si="46"/>
        <v>633.69999999999982</v>
      </c>
      <c r="Q71" s="60">
        <f t="shared" si="47"/>
        <v>401575.68999999977</v>
      </c>
      <c r="R71" s="46">
        <f t="shared" ref="R71:R77" si="59">P71/$C71</f>
        <v>9.7529819161215822E-2</v>
      </c>
      <c r="S71" s="60">
        <f t="shared" ref="S71:S77" si="60">C70*$S$2+S70*(1-$S$2)</f>
        <v>5902.2432277697644</v>
      </c>
      <c r="T71" s="60">
        <f t="shared" ref="T71:T77" si="61">$C71-S71</f>
        <v>595.25677223023558</v>
      </c>
      <c r="U71" s="60">
        <f t="shared" si="48"/>
        <v>595.25677223023558</v>
      </c>
      <c r="V71" s="60">
        <f t="shared" si="49"/>
        <v>354330.62488595856</v>
      </c>
      <c r="W71" s="46">
        <f t="shared" ref="W71:W77" si="62">U71/$C71</f>
        <v>9.1613200804961228E-2</v>
      </c>
      <c r="X71" s="60">
        <f t="shared" ref="X71:X77" si="63">C71*$X$2+(1-$X$2)*(X70+Y70)</f>
        <v>6257.8269389993693</v>
      </c>
      <c r="Y71" s="60">
        <f t="shared" ref="Y71:Y77" si="64">$Y$2*(X71-X70)+(1-$Y$2)*Y70</f>
        <v>-0.12264150943396226</v>
      </c>
      <c r="Z71" s="60">
        <f t="shared" ref="Z71:Z77" si="65">X70+Y70</f>
        <v>5902.0372004476512</v>
      </c>
      <c r="AA71" s="60">
        <f t="shared" ref="AA71:AA77" si="66">$C71-Z71</f>
        <v>595.46279955234877</v>
      </c>
      <c r="AB71" s="60">
        <f t="shared" si="50"/>
        <v>595.46279955234877</v>
      </c>
      <c r="AC71" s="60">
        <f t="shared" si="51"/>
        <v>354575.94565072068</v>
      </c>
      <c r="AD71" s="46">
        <f t="shared" ref="AD71:AD77" si="67">AB71/$C71</f>
        <v>9.1644909511712003E-2</v>
      </c>
      <c r="AE71" s="60">
        <f>$AE$2*(C71/AG65)+(1-$AE$2)*(AE70+AF70)</f>
        <v>6451.1029302661436</v>
      </c>
      <c r="AF71" s="60">
        <f>$AF$2*(AE71-AE70)+(1-$AF$2)*AF70</f>
        <v>0</v>
      </c>
      <c r="AG71" s="60">
        <f>$AG$2*(C71/AE71)+(1-$AG$2)*AG65</f>
        <v>0.98730710529512189</v>
      </c>
      <c r="AH71" s="60">
        <f>(AE70+AF70)*AG65</f>
        <v>5874.0164541064887</v>
      </c>
      <c r="AI71" s="60">
        <f t="shared" ref="AI71:AI77" si="68">$C71-AH71</f>
        <v>623.48354589351129</v>
      </c>
      <c r="AJ71" s="60">
        <f t="shared" si="52"/>
        <v>623.48354589351129</v>
      </c>
      <c r="AK71" s="60">
        <f t="shared" si="53"/>
        <v>388731.73199994618</v>
      </c>
      <c r="AL71" s="46">
        <f t="shared" ref="AL71:AL77" si="69">AJ71/$C71</f>
        <v>9.5957452234476534E-2</v>
      </c>
      <c r="AM71" s="60">
        <v>6047.0041009320503</v>
      </c>
      <c r="AN71" s="60">
        <f t="shared" ref="AN71:AN77" si="70">$C71-AM71</f>
        <v>450.49589906794972</v>
      </c>
      <c r="AO71" s="60">
        <f t="shared" si="54"/>
        <v>450.49589906794972</v>
      </c>
      <c r="AP71" s="60">
        <f t="shared" si="55"/>
        <v>202946.55507704034</v>
      </c>
      <c r="AQ71" s="46">
        <f t="shared" ref="AQ71:AQ77" si="71">AO71/$C71</f>
        <v>6.9333728213612889E-2</v>
      </c>
    </row>
    <row r="72" spans="1:43">
      <c r="B72" s="42" t="s">
        <v>81</v>
      </c>
      <c r="C72" s="60">
        <v>6692.2</v>
      </c>
      <c r="D72" s="60">
        <f>AVERAGE(C58,C62,C66)</f>
        <v>5830.5</v>
      </c>
      <c r="E72" s="60">
        <f t="shared" si="41"/>
        <v>861.69999999999982</v>
      </c>
      <c r="F72" s="60">
        <f t="shared" si="3"/>
        <v>861.69999999999982</v>
      </c>
      <c r="G72" s="60">
        <f t="shared" si="4"/>
        <v>742526.88999999966</v>
      </c>
      <c r="H72" s="46">
        <f t="shared" si="42"/>
        <v>0.12876184214458622</v>
      </c>
      <c r="I72" s="60">
        <f>AVERAGE(C66:C71)</f>
        <v>6058.5750000000007</v>
      </c>
      <c r="J72" s="60">
        <f t="shared" si="56"/>
        <v>633.62499999999909</v>
      </c>
      <c r="K72" s="60">
        <f t="shared" si="43"/>
        <v>633.62499999999909</v>
      </c>
      <c r="L72" s="60">
        <f t="shared" si="44"/>
        <v>401480.64062499884</v>
      </c>
      <c r="M72" s="46">
        <f t="shared" si="57"/>
        <v>9.4681121305400184E-2</v>
      </c>
      <c r="N72" s="60">
        <f t="shared" si="45"/>
        <v>6058.5750000000007</v>
      </c>
      <c r="O72" s="60">
        <f t="shared" si="58"/>
        <v>633.62499999999909</v>
      </c>
      <c r="P72" s="60">
        <f t="shared" si="46"/>
        <v>633.62499999999909</v>
      </c>
      <c r="Q72" s="60">
        <f t="shared" si="47"/>
        <v>401480.64062499884</v>
      </c>
      <c r="R72" s="46">
        <f t="shared" si="59"/>
        <v>9.4681121305400184E-2</v>
      </c>
      <c r="S72" s="60">
        <f t="shared" si="60"/>
        <v>6257.9177528719574</v>
      </c>
      <c r="T72" s="60">
        <f t="shared" si="61"/>
        <v>434.2822471280424</v>
      </c>
      <c r="U72" s="60">
        <f t="shared" si="48"/>
        <v>434.2822471280424</v>
      </c>
      <c r="V72" s="60">
        <f t="shared" si="49"/>
        <v>188601.0701705821</v>
      </c>
      <c r="W72" s="46">
        <f t="shared" si="62"/>
        <v>6.489379383880374E-2</v>
      </c>
      <c r="X72" s="60">
        <f t="shared" si="63"/>
        <v>6517.3160020567302</v>
      </c>
      <c r="Y72" s="60">
        <f t="shared" si="64"/>
        <v>-0.12264150943396226</v>
      </c>
      <c r="Z72" s="60">
        <f t="shared" si="65"/>
        <v>6257.704297489935</v>
      </c>
      <c r="AA72" s="60">
        <f t="shared" si="66"/>
        <v>434.4957025100648</v>
      </c>
      <c r="AB72" s="60">
        <f t="shared" si="50"/>
        <v>434.4957025100648</v>
      </c>
      <c r="AC72" s="60">
        <f t="shared" si="51"/>
        <v>188786.51549971473</v>
      </c>
      <c r="AD72" s="46">
        <f t="shared" si="67"/>
        <v>6.4925689983871493E-2</v>
      </c>
      <c r="AE72" s="60">
        <f>$AE$2*(C72/AG66)+(1-$AE$2)*(AE71+AF71)</f>
        <v>6416.6432692686558</v>
      </c>
      <c r="AF72" s="60">
        <f t="shared" ref="AF72:AF77" si="72">$AF$2*(AE72-AE71)+(1-$AF$2)*AF71</f>
        <v>0</v>
      </c>
      <c r="AG72" s="60">
        <f>$AG$2*(C72/AE72)+(1-$AG$2)*AG66</f>
        <v>1.0448757748067132</v>
      </c>
      <c r="AH72" s="60">
        <f>(AE71+AF71)*AG66</f>
        <v>6752.444240755689</v>
      </c>
      <c r="AI72" s="60">
        <f t="shared" si="68"/>
        <v>-60.244240755689134</v>
      </c>
      <c r="AJ72" s="60">
        <f t="shared" si="52"/>
        <v>60.244240755689134</v>
      </c>
      <c r="AK72" s="60">
        <f t="shared" si="53"/>
        <v>3629.3685442294359</v>
      </c>
      <c r="AL72" s="46">
        <f t="shared" si="69"/>
        <v>9.0021578487924948E-3</v>
      </c>
      <c r="AM72" s="60">
        <v>6964.4302717111696</v>
      </c>
      <c r="AN72" s="60">
        <f t="shared" si="70"/>
        <v>-272.23027171116973</v>
      </c>
      <c r="AO72" s="60">
        <f t="shared" si="54"/>
        <v>272.23027171116973</v>
      </c>
      <c r="AP72" s="60">
        <f t="shared" si="55"/>
        <v>74109.320835937295</v>
      </c>
      <c r="AQ72" s="46">
        <f t="shared" si="71"/>
        <v>4.0678741177963856E-2</v>
      </c>
    </row>
    <row r="73" spans="1:43">
      <c r="B73" s="42" t="s">
        <v>82</v>
      </c>
      <c r="C73" s="60">
        <v>6406.5</v>
      </c>
      <c r="D73" s="60">
        <f>AVERAGE(C59,C63,C67)</f>
        <v>5763.3666666666677</v>
      </c>
      <c r="E73" s="60">
        <f t="shared" si="41"/>
        <v>643.1333333333323</v>
      </c>
      <c r="F73" s="60">
        <f t="shared" si="3"/>
        <v>643.1333333333323</v>
      </c>
      <c r="G73" s="60">
        <f t="shared" si="4"/>
        <v>413620.48444444314</v>
      </c>
      <c r="H73" s="46">
        <f t="shared" si="42"/>
        <v>0.10038762714950945</v>
      </c>
      <c r="I73" s="60">
        <f>AVERAGE(C67:C72)</f>
        <v>6263.6</v>
      </c>
      <c r="J73" s="60">
        <f t="shared" si="56"/>
        <v>142.89999999999964</v>
      </c>
      <c r="K73" s="60">
        <f t="shared" si="43"/>
        <v>142.89999999999964</v>
      </c>
      <c r="L73" s="60">
        <f t="shared" si="44"/>
        <v>20420.409999999894</v>
      </c>
      <c r="M73" s="46">
        <f t="shared" si="57"/>
        <v>2.2305471006009464E-2</v>
      </c>
      <c r="N73" s="60">
        <f t="shared" si="45"/>
        <v>6263.6</v>
      </c>
      <c r="O73" s="60">
        <f t="shared" si="58"/>
        <v>142.89999999999964</v>
      </c>
      <c r="P73" s="60">
        <f t="shared" si="46"/>
        <v>142.89999999999964</v>
      </c>
      <c r="Q73" s="60">
        <f t="shared" si="47"/>
        <v>20420.409999999894</v>
      </c>
      <c r="R73" s="46">
        <f t="shared" si="59"/>
        <v>2.2305471006009464E-2</v>
      </c>
      <c r="S73" s="60">
        <f t="shared" si="60"/>
        <v>6517.4076725394916</v>
      </c>
      <c r="T73" s="60">
        <f t="shared" si="61"/>
        <v>-110.90767253949161</v>
      </c>
      <c r="U73" s="60">
        <f t="shared" si="48"/>
        <v>110.90767253949161</v>
      </c>
      <c r="V73" s="60">
        <f t="shared" si="49"/>
        <v>12300.511828127102</v>
      </c>
      <c r="W73" s="46">
        <f t="shared" si="62"/>
        <v>1.7311741596736378E-2</v>
      </c>
      <c r="X73" s="60">
        <f t="shared" si="63"/>
        <v>6451.0539445533141</v>
      </c>
      <c r="Y73" s="60">
        <f t="shared" si="64"/>
        <v>-0.12264150943396226</v>
      </c>
      <c r="Z73" s="60">
        <f t="shared" si="65"/>
        <v>6517.1933605472959</v>
      </c>
      <c r="AA73" s="60">
        <f t="shared" si="66"/>
        <v>-110.69336054729592</v>
      </c>
      <c r="AB73" s="60">
        <f t="shared" si="50"/>
        <v>110.69336054729592</v>
      </c>
      <c r="AC73" s="60">
        <f t="shared" si="51"/>
        <v>12253.020069253649</v>
      </c>
      <c r="AD73" s="46">
        <f t="shared" si="67"/>
        <v>1.7278289322921397E-2</v>
      </c>
      <c r="AE73" s="60">
        <f>$AE$2*(C73/AG67)+(1-$AE$2)*(AE72+AF72)</f>
        <v>6335.1014231827648</v>
      </c>
      <c r="AF73" s="60">
        <f t="shared" si="72"/>
        <v>0</v>
      </c>
      <c r="AG73" s="60">
        <f>$AG$2*(C73/AE73)+(1-$AG$2)*AG67</f>
        <v>1.0157823158699533</v>
      </c>
      <c r="AH73" s="60">
        <f>(AE72+AF72)*AG67</f>
        <v>6545.4274802505015</v>
      </c>
      <c r="AI73" s="60">
        <f t="shared" si="68"/>
        <v>-138.9274802505015</v>
      </c>
      <c r="AJ73" s="60">
        <f t="shared" si="52"/>
        <v>138.9274802505015</v>
      </c>
      <c r="AK73" s="60">
        <f t="shared" si="53"/>
        <v>19300.844768753486</v>
      </c>
      <c r="AL73" s="46">
        <f t="shared" si="69"/>
        <v>2.1685394560290564E-2</v>
      </c>
      <c r="AM73" s="60">
        <v>6605.15860655914</v>
      </c>
      <c r="AN73" s="60">
        <f t="shared" si="70"/>
        <v>-198.65860655914003</v>
      </c>
      <c r="AO73" s="60">
        <f t="shared" si="54"/>
        <v>198.65860655914003</v>
      </c>
      <c r="AP73" s="60">
        <f t="shared" si="55"/>
        <v>39465.241960019193</v>
      </c>
      <c r="AQ73" s="46">
        <f t="shared" si="71"/>
        <v>3.1008913846740035E-2</v>
      </c>
    </row>
    <row r="74" spans="1:43">
      <c r="B74" s="42" t="s">
        <v>86</v>
      </c>
      <c r="C74" s="60">
        <v>6169</v>
      </c>
      <c r="D74" s="60">
        <f>AVERAGE(C60,C64,C70)</f>
        <v>5562.666666666667</v>
      </c>
      <c r="E74" s="60">
        <f t="shared" si="41"/>
        <v>606.33333333333303</v>
      </c>
      <c r="F74" s="60">
        <f t="shared" si="3"/>
        <v>606.33333333333303</v>
      </c>
      <c r="G74" s="60">
        <f t="shared" si="4"/>
        <v>367640.11111111072</v>
      </c>
      <c r="H74" s="46">
        <f t="shared" si="42"/>
        <v>9.8287134597719733E-2</v>
      </c>
      <c r="I74" s="60">
        <f>AVERAGE(C70:C73)</f>
        <v>6373.5</v>
      </c>
      <c r="J74" s="60">
        <f t="shared" si="56"/>
        <v>-204.5</v>
      </c>
      <c r="K74" s="60">
        <f t="shared" si="43"/>
        <v>204.5</v>
      </c>
      <c r="L74" s="60">
        <f t="shared" si="44"/>
        <v>41820.25</v>
      </c>
      <c r="M74" s="46">
        <f t="shared" si="57"/>
        <v>3.3149619063057224E-2</v>
      </c>
      <c r="N74" s="60">
        <f t="shared" si="45"/>
        <v>6373.5</v>
      </c>
      <c r="O74" s="60">
        <f t="shared" si="58"/>
        <v>-204.5</v>
      </c>
      <c r="P74" s="60">
        <f t="shared" si="46"/>
        <v>204.5</v>
      </c>
      <c r="Q74" s="60">
        <f t="shared" si="47"/>
        <v>41820.25</v>
      </c>
      <c r="R74" s="46">
        <f t="shared" si="59"/>
        <v>3.3149619063057224E-2</v>
      </c>
      <c r="S74" s="60">
        <f t="shared" si="60"/>
        <v>6451.1387351649901</v>
      </c>
      <c r="T74" s="60">
        <f t="shared" si="61"/>
        <v>-282.13873516499007</v>
      </c>
      <c r="U74" s="60">
        <f t="shared" si="48"/>
        <v>282.13873516499007</v>
      </c>
      <c r="V74" s="60">
        <f t="shared" si="49"/>
        <v>79602.265880500403</v>
      </c>
      <c r="W74" s="46">
        <f t="shared" si="62"/>
        <v>4.5734922218348205E-2</v>
      </c>
      <c r="X74" s="60">
        <f t="shared" si="63"/>
        <v>6282.4770105592179</v>
      </c>
      <c r="Y74" s="60">
        <f t="shared" si="64"/>
        <v>-0.12264150943396226</v>
      </c>
      <c r="Z74" s="60">
        <f t="shared" si="65"/>
        <v>6450.9313030438798</v>
      </c>
      <c r="AA74" s="60">
        <f t="shared" si="66"/>
        <v>-281.93130304387978</v>
      </c>
      <c r="AB74" s="60">
        <f t="shared" si="50"/>
        <v>281.93130304387978</v>
      </c>
      <c r="AC74" s="60">
        <f t="shared" si="51"/>
        <v>79485.259636019982</v>
      </c>
      <c r="AD74" s="46">
        <f t="shared" si="67"/>
        <v>4.5701297300029142E-2</v>
      </c>
      <c r="AE74" s="60">
        <f>$AE$2*(C74/AG70)+(1-$AE$2)*(AE73+AF73)</f>
        <v>6395.2232216157236</v>
      </c>
      <c r="AF74" s="60">
        <f t="shared" si="72"/>
        <v>0</v>
      </c>
      <c r="AG74" s="60">
        <f>$AG$2*(C74/AE74)+(1-$AG$2)*AG70</f>
        <v>0.96152937285130835</v>
      </c>
      <c r="AH74" s="60">
        <f>(AE73+AF73)*AG70</f>
        <v>6072.7411518903646</v>
      </c>
      <c r="AI74" s="60">
        <f t="shared" si="68"/>
        <v>96.258848109635437</v>
      </c>
      <c r="AJ74" s="60">
        <f t="shared" si="52"/>
        <v>96.258848109635437</v>
      </c>
      <c r="AK74" s="60">
        <f t="shared" si="53"/>
        <v>9265.7658393938655</v>
      </c>
      <c r="AL74" s="46">
        <f t="shared" si="69"/>
        <v>1.5603638857130077E-2</v>
      </c>
      <c r="AM74" s="60">
        <v>5992.5427723519697</v>
      </c>
      <c r="AN74" s="60">
        <f t="shared" si="70"/>
        <v>176.45722764803031</v>
      </c>
      <c r="AO74" s="60">
        <f t="shared" si="54"/>
        <v>176.45722764803031</v>
      </c>
      <c r="AP74" s="60">
        <f t="shared" si="55"/>
        <v>31137.153189228793</v>
      </c>
      <c r="AQ74" s="46">
        <f t="shared" si="71"/>
        <v>2.8603862481444368E-2</v>
      </c>
    </row>
    <row r="75" spans="1:43">
      <c r="B75" s="42" t="s">
        <v>88</v>
      </c>
      <c r="C75" s="60">
        <v>6490</v>
      </c>
      <c r="D75" s="60">
        <f>AVERAGE(C61,C65,C71)</f>
        <v>6034.5999999999995</v>
      </c>
      <c r="E75" s="60">
        <f t="shared" si="41"/>
        <v>455.40000000000055</v>
      </c>
      <c r="F75" s="60">
        <f t="shared" si="3"/>
        <v>455.40000000000055</v>
      </c>
      <c r="G75" s="60">
        <f t="shared" si="4"/>
        <v>207389.1600000005</v>
      </c>
      <c r="H75" s="46">
        <f t="shared" si="42"/>
        <v>7.0169491525423816E-2</v>
      </c>
      <c r="I75" s="60">
        <f>AVERAGE(C71:C74)</f>
        <v>6441.3</v>
      </c>
      <c r="J75" s="60">
        <f t="shared" si="56"/>
        <v>48.699999999999818</v>
      </c>
      <c r="K75" s="60">
        <f t="shared" si="43"/>
        <v>48.699999999999818</v>
      </c>
      <c r="L75" s="60">
        <f t="shared" si="44"/>
        <v>2371.6899999999823</v>
      </c>
      <c r="M75" s="46">
        <f t="shared" si="57"/>
        <v>7.5038520801232389E-3</v>
      </c>
      <c r="N75" s="60">
        <f t="shared" si="45"/>
        <v>6441.3</v>
      </c>
      <c r="O75" s="60">
        <f t="shared" si="58"/>
        <v>48.699999999999818</v>
      </c>
      <c r="P75" s="60">
        <f t="shared" si="46"/>
        <v>48.699999999999818</v>
      </c>
      <c r="Q75" s="60">
        <f t="shared" si="47"/>
        <v>2371.6899999999823</v>
      </c>
      <c r="R75" s="46">
        <f t="shared" si="59"/>
        <v>7.5038520801232389E-3</v>
      </c>
      <c r="S75" s="60">
        <f t="shared" si="60"/>
        <v>6282.5567629401903</v>
      </c>
      <c r="T75" s="60">
        <f t="shared" si="61"/>
        <v>207.44323705980969</v>
      </c>
      <c r="U75" s="60">
        <f t="shared" si="48"/>
        <v>207.44323705980969</v>
      </c>
      <c r="V75" s="60">
        <f t="shared" si="49"/>
        <v>43032.696601852404</v>
      </c>
      <c r="W75" s="46">
        <f t="shared" si="62"/>
        <v>3.196351880736667E-2</v>
      </c>
      <c r="X75" s="60">
        <f t="shared" si="63"/>
        <v>6406.4228831580094</v>
      </c>
      <c r="Y75" s="60">
        <f t="shared" si="64"/>
        <v>-0.12264150943396226</v>
      </c>
      <c r="Z75" s="60">
        <f t="shared" si="65"/>
        <v>6282.3543690497836</v>
      </c>
      <c r="AA75" s="60">
        <f t="shared" si="66"/>
        <v>207.6456309502164</v>
      </c>
      <c r="AB75" s="60">
        <f t="shared" si="50"/>
        <v>207.6456309502164</v>
      </c>
      <c r="AC75" s="60">
        <f t="shared" si="51"/>
        <v>43116.708052713468</v>
      </c>
      <c r="AD75" s="46">
        <f t="shared" si="67"/>
        <v>3.1994704306658919E-2</v>
      </c>
      <c r="AE75" s="60">
        <f>$AE$2*(C75/AG71)+(1-$AE$2)*(AE74+AF74)</f>
        <v>6501.9224235926977</v>
      </c>
      <c r="AF75" s="60">
        <f t="shared" si="72"/>
        <v>0</v>
      </c>
      <c r="AG75" s="60">
        <f>$AG$2*(C75/AE75)+(1-$AG$2)*AG71</f>
        <v>0.99259851959146439</v>
      </c>
      <c r="AH75" s="60">
        <f>(AE74+AF74)*AG71</f>
        <v>6314.0493266495641</v>
      </c>
      <c r="AI75" s="60">
        <f t="shared" si="68"/>
        <v>175.95067335043586</v>
      </c>
      <c r="AJ75" s="60">
        <f t="shared" si="52"/>
        <v>175.95067335043586</v>
      </c>
      <c r="AK75" s="60">
        <f t="shared" si="53"/>
        <v>30958.63945247178</v>
      </c>
      <c r="AL75" s="46">
        <f t="shared" si="69"/>
        <v>2.7111043659543275E-2</v>
      </c>
      <c r="AM75" s="60">
        <v>6287.1574689668496</v>
      </c>
      <c r="AN75" s="60">
        <f t="shared" si="70"/>
        <v>202.84253103315041</v>
      </c>
      <c r="AO75" s="60">
        <f t="shared" si="54"/>
        <v>202.84253103315041</v>
      </c>
      <c r="AP75" s="60">
        <f t="shared" si="55"/>
        <v>41145.092395934589</v>
      </c>
      <c r="AQ75" s="46">
        <f t="shared" si="71"/>
        <v>3.1254627277835192E-2</v>
      </c>
    </row>
    <row r="76" spans="1:43">
      <c r="B76" s="42" t="s">
        <v>89</v>
      </c>
      <c r="C76" s="60">
        <v>6873</v>
      </c>
      <c r="D76" s="60">
        <f>AVERAGE(C62,C66,C72)</f>
        <v>6255.2000000000007</v>
      </c>
      <c r="E76" s="60">
        <f t="shared" si="41"/>
        <v>617.79999999999927</v>
      </c>
      <c r="F76" s="60">
        <f t="shared" si="3"/>
        <v>617.79999999999927</v>
      </c>
      <c r="G76" s="60">
        <f t="shared" si="4"/>
        <v>381676.83999999909</v>
      </c>
      <c r="H76" s="46">
        <f t="shared" si="42"/>
        <v>8.98879674087006E-2</v>
      </c>
      <c r="I76" s="60">
        <f>AVERAGE(C72:C75)</f>
        <v>6439.4250000000002</v>
      </c>
      <c r="J76" s="60">
        <f t="shared" si="56"/>
        <v>433.57499999999982</v>
      </c>
      <c r="K76" s="60">
        <f t="shared" si="43"/>
        <v>433.57499999999982</v>
      </c>
      <c r="L76" s="60">
        <f t="shared" si="44"/>
        <v>187987.28062499984</v>
      </c>
      <c r="M76" s="46">
        <f t="shared" si="57"/>
        <v>6.3083806198166711E-2</v>
      </c>
      <c r="N76" s="60">
        <f t="shared" si="45"/>
        <v>6439.4250000000002</v>
      </c>
      <c r="O76" s="60">
        <f t="shared" si="58"/>
        <v>433.57499999999982</v>
      </c>
      <c r="P76" s="60">
        <f t="shared" si="46"/>
        <v>433.57499999999982</v>
      </c>
      <c r="Q76" s="60">
        <f t="shared" si="47"/>
        <v>187987.28062499984</v>
      </c>
      <c r="R76" s="46">
        <f t="shared" si="59"/>
        <v>6.3083806198166711E-2</v>
      </c>
      <c r="S76" s="60">
        <f t="shared" si="60"/>
        <v>6406.5070954168305</v>
      </c>
      <c r="T76" s="60">
        <f t="shared" si="61"/>
        <v>466.49290458316955</v>
      </c>
      <c r="U76" s="60">
        <f t="shared" si="48"/>
        <v>466.49290458316955</v>
      </c>
      <c r="V76" s="60">
        <f t="shared" si="49"/>
        <v>217615.63002644212</v>
      </c>
      <c r="W76" s="46">
        <f t="shared" si="62"/>
        <v>6.7873258341796819E-2</v>
      </c>
      <c r="X76" s="60">
        <f t="shared" si="63"/>
        <v>6685.1539082937998</v>
      </c>
      <c r="Y76" s="60">
        <f t="shared" si="64"/>
        <v>-0.12264150943396226</v>
      </c>
      <c r="Z76" s="60">
        <f t="shared" si="65"/>
        <v>6406.3002416485751</v>
      </c>
      <c r="AA76" s="60">
        <f t="shared" si="66"/>
        <v>466.69975835142486</v>
      </c>
      <c r="AB76" s="60">
        <f t="shared" si="50"/>
        <v>466.69975835142486</v>
      </c>
      <c r="AC76" s="60">
        <f t="shared" si="51"/>
        <v>217808.66444527835</v>
      </c>
      <c r="AD76" s="46">
        <f t="shared" si="67"/>
        <v>6.7903354918001577E-2</v>
      </c>
      <c r="AE76" s="60">
        <f>$AE$2*(C76/AG72)+(1-$AE$2)*(AE75+AF75)</f>
        <v>6547.3609554730247</v>
      </c>
      <c r="AF76" s="60">
        <f t="shared" si="72"/>
        <v>0</v>
      </c>
      <c r="AG76" s="60">
        <f>$AG$2*(C76/AE76)+(1-$AG$2)*AG72</f>
        <v>1.0472439988341542</v>
      </c>
      <c r="AH76" s="60">
        <f>(AE75+AF75)*AG72</f>
        <v>6793.7012300845627</v>
      </c>
      <c r="AI76" s="60">
        <f t="shared" si="68"/>
        <v>79.298769915437333</v>
      </c>
      <c r="AJ76" s="60">
        <f t="shared" si="52"/>
        <v>79.298769915437333</v>
      </c>
      <c r="AK76" s="60">
        <f t="shared" si="53"/>
        <v>6288.2949101014692</v>
      </c>
      <c r="AL76" s="46">
        <f t="shared" si="69"/>
        <v>1.1537722961652456E-2</v>
      </c>
      <c r="AM76" s="60">
        <v>6965.3532702672801</v>
      </c>
      <c r="AN76" s="60">
        <f t="shared" si="70"/>
        <v>-92.353270267280095</v>
      </c>
      <c r="AO76" s="60">
        <f t="shared" si="54"/>
        <v>92.353270267280095</v>
      </c>
      <c r="AP76" s="60">
        <f t="shared" si="55"/>
        <v>8529.126529061281</v>
      </c>
      <c r="AQ76" s="46">
        <f t="shared" si="71"/>
        <v>1.3437111925982846E-2</v>
      </c>
    </row>
    <row r="77" spans="1:43">
      <c r="B77" s="42" t="s">
        <v>90</v>
      </c>
      <c r="C77" s="60">
        <v>6388</v>
      </c>
      <c r="D77" s="60">
        <f>AVERAGE(C63,C67,C73)</f>
        <v>6127.5333333333338</v>
      </c>
      <c r="E77" s="60">
        <f t="shared" si="41"/>
        <v>260.46666666666624</v>
      </c>
      <c r="F77" s="60">
        <f t="shared" si="3"/>
        <v>260.46666666666624</v>
      </c>
      <c r="G77" s="60">
        <f t="shared" si="4"/>
        <v>67842.884444444222</v>
      </c>
      <c r="H77" s="46">
        <f t="shared" si="42"/>
        <v>4.0774368607806234E-2</v>
      </c>
      <c r="I77" s="60">
        <f>AVERAGE(C73:C76)</f>
        <v>6484.625</v>
      </c>
      <c r="J77" s="60">
        <f t="shared" si="56"/>
        <v>-96.625</v>
      </c>
      <c r="K77" s="60">
        <f t="shared" si="43"/>
        <v>96.625</v>
      </c>
      <c r="L77" s="60">
        <f t="shared" si="44"/>
        <v>9336.390625</v>
      </c>
      <c r="M77" s="46">
        <f t="shared" si="57"/>
        <v>1.5126017532874139E-2</v>
      </c>
      <c r="N77" s="60">
        <f t="shared" si="45"/>
        <v>6484.625</v>
      </c>
      <c r="O77" s="60">
        <f t="shared" si="58"/>
        <v>-96.625</v>
      </c>
      <c r="P77" s="60">
        <f t="shared" si="46"/>
        <v>96.625</v>
      </c>
      <c r="Q77" s="60">
        <f t="shared" si="47"/>
        <v>9336.390625</v>
      </c>
      <c r="R77" s="46">
        <f t="shared" si="59"/>
        <v>1.5126017532874139E-2</v>
      </c>
      <c r="S77" s="60">
        <f t="shared" si="60"/>
        <v>6685.2433484787052</v>
      </c>
      <c r="T77" s="60">
        <f t="shared" si="61"/>
        <v>-297.24334847870523</v>
      </c>
      <c r="U77" s="60">
        <f t="shared" si="48"/>
        <v>297.24334847870523</v>
      </c>
      <c r="V77" s="60">
        <f t="shared" si="49"/>
        <v>88353.608214832988</v>
      </c>
      <c r="W77" s="46">
        <f t="shared" si="62"/>
        <v>4.6531519799421606E-2</v>
      </c>
      <c r="X77" s="60">
        <f t="shared" si="63"/>
        <v>6507.5547278127578</v>
      </c>
      <c r="Y77" s="60">
        <f t="shared" si="64"/>
        <v>-0.12264150943396226</v>
      </c>
      <c r="Z77" s="60">
        <f t="shared" si="65"/>
        <v>6685.0312667843655</v>
      </c>
      <c r="AA77" s="60">
        <f t="shared" si="66"/>
        <v>-297.03126678436547</v>
      </c>
      <c r="AB77" s="60">
        <f t="shared" si="50"/>
        <v>297.03126678436547</v>
      </c>
      <c r="AC77" s="60">
        <f t="shared" si="51"/>
        <v>88227.57344752489</v>
      </c>
      <c r="AD77" s="46">
        <f t="shared" si="67"/>
        <v>4.6498319784653332E-2</v>
      </c>
      <c r="AE77" s="60">
        <f>$AE$2*(C77/AG73)+(1-$AE$2)*(AE76+AF76)</f>
        <v>6392.5252429418542</v>
      </c>
      <c r="AF77" s="60">
        <f t="shared" si="72"/>
        <v>0</v>
      </c>
      <c r="AG77" s="60">
        <f>$AG$2*(C77/AE77)+(1-$AG$2)*AG73</f>
        <v>1.0077470648385041</v>
      </c>
      <c r="AH77" s="60">
        <f>(AE76+AF76)*AG73</f>
        <v>6650.693474186899</v>
      </c>
      <c r="AI77" s="60">
        <f t="shared" si="68"/>
        <v>-262.69347418689904</v>
      </c>
      <c r="AJ77" s="60">
        <f t="shared" si="52"/>
        <v>262.69347418689904</v>
      </c>
      <c r="AK77" s="60">
        <f t="shared" si="53"/>
        <v>69007.861380382994</v>
      </c>
      <c r="AL77" s="46">
        <f t="shared" si="69"/>
        <v>4.1122960893378059E-2</v>
      </c>
      <c r="AM77" s="60">
        <v>6812.81676341602</v>
      </c>
      <c r="AN77" s="60">
        <f t="shared" si="70"/>
        <v>-424.81676341601997</v>
      </c>
      <c r="AO77" s="60">
        <f t="shared" si="54"/>
        <v>424.81676341601997</v>
      </c>
      <c r="AP77" s="60">
        <f t="shared" si="55"/>
        <v>180469.28247926268</v>
      </c>
      <c r="AQ77" s="46">
        <f t="shared" si="71"/>
        <v>6.6502311117097673E-2</v>
      </c>
    </row>
    <row r="78" spans="1:43">
      <c r="C78" s="57"/>
      <c r="D78" s="60"/>
      <c r="E78" s="62" t="s">
        <v>163</v>
      </c>
      <c r="F78" s="63">
        <f>AVERAGE(F70:F77)</f>
        <v>693.66666666666652</v>
      </c>
      <c r="G78" s="63">
        <f>SQRT(AVERAGE(G70:G77))</f>
        <v>758.56464292768078</v>
      </c>
      <c r="H78" s="48">
        <f>AVERAGE(H70:H77)</f>
        <v>0.10794750496574711</v>
      </c>
      <c r="I78" s="60"/>
      <c r="J78" s="62" t="s">
        <v>163</v>
      </c>
      <c r="K78" s="63">
        <f>AVERAGE(K70:K77)</f>
        <v>285.7093749999998</v>
      </c>
      <c r="L78" s="63">
        <f>SQRT(AVERAGE(L70:L77))</f>
        <v>366.31024323225637</v>
      </c>
      <c r="M78" s="48">
        <f>AVERAGE(M70:M77)</f>
        <v>4.3623402626666578E-2</v>
      </c>
      <c r="N78" s="60"/>
      <c r="O78" s="62" t="s">
        <v>163</v>
      </c>
      <c r="P78" s="63">
        <f>AVERAGE(P70:P77)</f>
        <v>285.7093749999998</v>
      </c>
      <c r="Q78" s="63">
        <f>SQRT(AVERAGE(Q70:Q77))</f>
        <v>366.31024323225637</v>
      </c>
      <c r="R78" s="48">
        <f>AVERAGE(R70:R77)</f>
        <v>4.3623402626666578E-2</v>
      </c>
      <c r="S78" s="60"/>
      <c r="T78" s="62" t="s">
        <v>163</v>
      </c>
      <c r="U78" s="63">
        <f>AVERAGE(U70:U77)</f>
        <v>300.6005486019576</v>
      </c>
      <c r="V78" s="63">
        <f>SQRT(AVERAGE(V70:V77))</f>
        <v>350.70612297588139</v>
      </c>
      <c r="W78" s="48">
        <f>AVERAGE(W70:W77)</f>
        <v>4.5974218781435122E-2</v>
      </c>
      <c r="X78" s="64"/>
      <c r="Y78" s="64"/>
      <c r="Z78" s="60"/>
      <c r="AA78" s="62" t="s">
        <v>163</v>
      </c>
      <c r="AB78" s="63">
        <f>AVERAGE(AB70:AB77)</f>
        <v>300.59896994676626</v>
      </c>
      <c r="AC78" s="63">
        <f>SQRT(AVERAGE(AC70:AC77))</f>
        <v>350.77967046254207</v>
      </c>
      <c r="AD78" s="48">
        <f>AVERAGE(AD70:AD77)</f>
        <v>4.5972896453880162E-2</v>
      </c>
      <c r="AE78" s="60"/>
      <c r="AF78" s="60"/>
      <c r="AG78" s="60"/>
      <c r="AH78" s="60"/>
      <c r="AI78" s="62" t="s">
        <v>163</v>
      </c>
      <c r="AJ78" s="63">
        <f>AVERAGE(AJ70:AJ77)</f>
        <v>230.25531859085174</v>
      </c>
      <c r="AK78" s="63">
        <f>SQRT(AVERAGE(AK70:AK77))</f>
        <v>293.97232214231798</v>
      </c>
      <c r="AL78" s="48">
        <f>AVERAGE(AL70:AL77)</f>
        <v>3.6340187452069524E-2</v>
      </c>
      <c r="AN78" s="62" t="s">
        <v>163</v>
      </c>
      <c r="AO78" s="63">
        <f>AVERAGE(AO70:AO77)</f>
        <v>271.7987835467901</v>
      </c>
      <c r="AP78" s="63">
        <f>SQRT(AVERAGE(AP70:AP77))</f>
        <v>296.84159851967263</v>
      </c>
      <c r="AQ78" s="48">
        <f>AVERAGE(AQ70:AQ77)</f>
        <v>4.2658952127494251E-2</v>
      </c>
    </row>
    <row r="80" spans="1:43">
      <c r="A80" s="51" t="s">
        <v>177</v>
      </c>
      <c r="B80" s="42" t="s">
        <v>178</v>
      </c>
      <c r="AH80" s="60">
        <f>($AE$77+$AF$77)*AG74</f>
        <v>6146.6007877820384</v>
      </c>
    </row>
    <row r="81" spans="2:34">
      <c r="B81" s="42" t="s">
        <v>179</v>
      </c>
      <c r="AH81" s="60">
        <f>(AE77+2*AF77)*AG75</f>
        <v>6345.2110925951511</v>
      </c>
    </row>
    <row r="82" spans="2:34">
      <c r="B82" s="42" t="s">
        <v>180</v>
      </c>
      <c r="AH82" s="60">
        <f>($AE$77+3*$AF$77)*AG76</f>
        <v>6694.5336980667007</v>
      </c>
    </row>
    <row r="83" spans="2:34">
      <c r="B83" s="42" t="s">
        <v>181</v>
      </c>
      <c r="AH83" s="60">
        <f>($AE$77+4*$AF$77)*AG77</f>
        <v>6442.0485504806984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3F095-54D6-4CCE-AC78-AC00EF379110}">
  <dimension ref="B2:E15"/>
  <sheetViews>
    <sheetView topLeftCell="B1" zoomScale="94" workbookViewId="0">
      <selection activeCell="R32" sqref="R32"/>
    </sheetView>
  </sheetViews>
  <sheetFormatPr defaultRowHeight="14"/>
  <cols>
    <col min="1" max="1" width="8.6640625" style="42"/>
    <col min="2" max="2" width="15.58203125" style="42" bestFit="1" customWidth="1"/>
    <col min="3" max="4" width="9.58203125" style="42" bestFit="1" customWidth="1"/>
    <col min="5" max="5" width="8.75" style="42" bestFit="1" customWidth="1"/>
    <col min="6" max="16384" width="8.6640625" style="42"/>
  </cols>
  <sheetData>
    <row r="2" spans="2:5">
      <c r="B2" s="42" t="s">
        <v>174</v>
      </c>
      <c r="C2" s="42" t="s">
        <v>156</v>
      </c>
      <c r="D2" s="42" t="s">
        <v>161</v>
      </c>
      <c r="E2" s="42" t="s">
        <v>158</v>
      </c>
    </row>
    <row r="3" spans="2:5">
      <c r="B3" s="42" t="s">
        <v>160</v>
      </c>
      <c r="C3" s="45">
        <f>RevenueModel!F78</f>
        <v>693.66666666666652</v>
      </c>
      <c r="D3" s="45">
        <f>RevenueModel!G78</f>
        <v>758.56464292768078</v>
      </c>
      <c r="E3" s="46">
        <f>RevenueModel!H78</f>
        <v>0.10794750496574711</v>
      </c>
    </row>
    <row r="4" spans="2:5">
      <c r="B4" s="42" t="s">
        <v>170</v>
      </c>
      <c r="C4" s="45">
        <f>RevenueModel!K78</f>
        <v>285.7093749999998</v>
      </c>
      <c r="D4" s="45">
        <f>RevenueModel!L78</f>
        <v>366.31024323225637</v>
      </c>
      <c r="E4" s="46">
        <f>RevenueModel!M78</f>
        <v>4.3623402626666578E-2</v>
      </c>
    </row>
    <row r="5" spans="2:5">
      <c r="B5" s="42" t="s">
        <v>171</v>
      </c>
      <c r="C5" s="45">
        <f>RevenueModel!P78</f>
        <v>285.7093749999998</v>
      </c>
      <c r="D5" s="45">
        <f>RevenueModel!Q78</f>
        <v>366.31024323225637</v>
      </c>
      <c r="E5" s="46">
        <f>RevenueModel!R78</f>
        <v>4.3623402626666578E-2</v>
      </c>
    </row>
    <row r="6" spans="2:5">
      <c r="B6" s="42" t="s">
        <v>176</v>
      </c>
      <c r="C6" s="45">
        <f>RevenueModel!U78</f>
        <v>300.6005486019576</v>
      </c>
      <c r="D6" s="45">
        <f>RevenueModel!V78</f>
        <v>350.70612297588139</v>
      </c>
      <c r="E6" s="46">
        <f>RevenueModel!W78</f>
        <v>4.5974218781435122E-2</v>
      </c>
    </row>
    <row r="7" spans="2:5">
      <c r="B7" s="42" t="s">
        <v>166</v>
      </c>
      <c r="C7" s="45">
        <f>RevenueModel!AB78</f>
        <v>300.59896994676626</v>
      </c>
      <c r="D7" s="45">
        <f>RevenueModel!AC78</f>
        <v>350.77967046254207</v>
      </c>
      <c r="E7" s="46">
        <f>RevenueModel!AD78</f>
        <v>4.5972896453880162E-2</v>
      </c>
    </row>
    <row r="8" spans="2:5">
      <c r="B8" s="49" t="s">
        <v>172</v>
      </c>
      <c r="C8" s="47">
        <f>RevenueModel!AJ78</f>
        <v>230.25531859085174</v>
      </c>
      <c r="D8" s="47">
        <f>RevenueModel!AK78</f>
        <v>293.97232214231798</v>
      </c>
      <c r="E8" s="48">
        <f>RevenueModel!AL78</f>
        <v>3.6340187452069524E-2</v>
      </c>
    </row>
    <row r="9" spans="2:5">
      <c r="B9" s="42" t="s">
        <v>173</v>
      </c>
      <c r="C9" s="45">
        <f>RevenueModel!AO78</f>
        <v>271.7987835467901</v>
      </c>
      <c r="D9" s="45">
        <f>RevenueModel!AP78</f>
        <v>296.84159851967263</v>
      </c>
      <c r="E9" s="46">
        <f>RevenueModel!AQ78</f>
        <v>4.2658952127494251E-2</v>
      </c>
    </row>
    <row r="13" spans="2:5">
      <c r="C13" s="50"/>
    </row>
    <row r="14" spans="2:5">
      <c r="C14" s="50"/>
    </row>
    <row r="15" spans="2:5">
      <c r="C15" s="50"/>
    </row>
  </sheetData>
  <phoneticPr fontId="7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85BC9-6D3F-40ED-AA9A-D07B7E57BEE4}">
  <dimension ref="A1:J181"/>
  <sheetViews>
    <sheetView tabSelected="1" workbookViewId="0">
      <selection activeCell="C181" sqref="C181"/>
    </sheetView>
  </sheetViews>
  <sheetFormatPr defaultRowHeight="14"/>
  <cols>
    <col min="1" max="8" width="15.33203125" customWidth="1"/>
  </cols>
  <sheetData>
    <row r="1" spans="1:8" ht="42">
      <c r="A1" s="54" t="s">
        <v>182</v>
      </c>
      <c r="B1" s="54" t="s">
        <v>197</v>
      </c>
      <c r="C1" s="54" t="s">
        <v>198</v>
      </c>
      <c r="D1" s="54" t="s">
        <v>199</v>
      </c>
      <c r="E1" s="51" t="s">
        <v>200</v>
      </c>
      <c r="F1" s="54" t="s">
        <v>201</v>
      </c>
      <c r="G1" s="54" t="s">
        <v>202</v>
      </c>
      <c r="H1" s="51" t="s">
        <v>203</v>
      </c>
    </row>
    <row r="2" spans="1:8">
      <c r="A2" s="38" t="s">
        <v>18</v>
      </c>
      <c r="B2" s="38" t="s">
        <v>219</v>
      </c>
      <c r="C2" s="40">
        <v>3803.1</v>
      </c>
      <c r="D2" s="40">
        <v>1807</v>
      </c>
      <c r="E2" s="40"/>
      <c r="F2" s="40">
        <v>3300.31</v>
      </c>
      <c r="G2" s="40">
        <v>1777.0899999999997</v>
      </c>
      <c r="H2" s="40"/>
    </row>
    <row r="3" spans="1:8">
      <c r="A3" s="38" t="s">
        <v>19</v>
      </c>
      <c r="B3" s="38" t="s">
        <v>219</v>
      </c>
      <c r="C3" s="40">
        <v>4013.4</v>
      </c>
      <c r="D3" s="40">
        <v>1932.1</v>
      </c>
      <c r="E3" s="40"/>
      <c r="F3" s="40">
        <v>3901.2540055350314</v>
      </c>
      <c r="G3" s="40">
        <v>2100.6752337496323</v>
      </c>
      <c r="H3" s="40"/>
    </row>
    <row r="4" spans="1:8">
      <c r="A4" s="38" t="s">
        <v>20</v>
      </c>
      <c r="B4" s="38" t="s">
        <v>219</v>
      </c>
      <c r="C4" s="40">
        <v>4246.6000000000004</v>
      </c>
      <c r="D4" s="40">
        <v>2058.3000000000002</v>
      </c>
      <c r="E4" s="40"/>
      <c r="F4" s="40">
        <v>4153.7265731252082</v>
      </c>
      <c r="G4" s="40">
        <v>2236.6220009135736</v>
      </c>
      <c r="H4" s="40"/>
    </row>
    <row r="5" spans="1:8">
      <c r="A5" s="38" t="s">
        <v>21</v>
      </c>
      <c r="B5" s="38" t="s">
        <v>219</v>
      </c>
      <c r="C5" s="40">
        <v>4170.1999999999989</v>
      </c>
      <c r="D5" s="40">
        <v>2043.9000000000005</v>
      </c>
      <c r="E5" s="40"/>
      <c r="F5" s="40">
        <v>4070.5231513168824</v>
      </c>
      <c r="G5" s="40">
        <v>2191.8201584013982</v>
      </c>
      <c r="H5" s="40"/>
    </row>
    <row r="6" spans="1:8">
      <c r="A6" s="38" t="s">
        <v>22</v>
      </c>
      <c r="B6" s="38" t="s">
        <v>219</v>
      </c>
      <c r="C6" s="40">
        <v>4152.7</v>
      </c>
      <c r="D6" s="40">
        <v>1958.9</v>
      </c>
      <c r="E6" s="40"/>
      <c r="F6" s="40">
        <v>3510.4695211186468</v>
      </c>
      <c r="G6" s="40">
        <v>1890.2528190638864</v>
      </c>
      <c r="H6" s="40"/>
    </row>
    <row r="7" spans="1:8">
      <c r="A7" s="38" t="s">
        <v>23</v>
      </c>
      <c r="B7" s="38" t="s">
        <v>219</v>
      </c>
      <c r="C7" s="40">
        <v>4697.3999999999996</v>
      </c>
      <c r="D7" s="40">
        <v>2208</v>
      </c>
      <c r="E7" s="40"/>
      <c r="F7" s="40">
        <v>4124.7173405885287</v>
      </c>
      <c r="G7" s="40">
        <v>2221.0016449322843</v>
      </c>
      <c r="H7" s="40"/>
    </row>
    <row r="8" spans="1:8">
      <c r="A8" s="38" t="s">
        <v>24</v>
      </c>
      <c r="B8" s="38" t="s">
        <v>219</v>
      </c>
      <c r="C8" s="40">
        <v>4855.5</v>
      </c>
      <c r="D8" s="40">
        <v>2310.8000000000002</v>
      </c>
      <c r="E8" s="40"/>
      <c r="F8" s="40">
        <v>4646.064475660487</v>
      </c>
      <c r="G8" s="40">
        <v>2501.7270253556467</v>
      </c>
      <c r="H8" s="40"/>
    </row>
    <row r="9" spans="1:8">
      <c r="A9" s="38" t="s">
        <v>25</v>
      </c>
      <c r="B9" s="38" t="s">
        <v>219</v>
      </c>
      <c r="C9" s="40">
        <v>4587.2000000000007</v>
      </c>
      <c r="D9" s="40">
        <v>2235.5000000000009</v>
      </c>
      <c r="E9" s="40"/>
      <c r="F9" s="40">
        <v>4602.0319964401688</v>
      </c>
      <c r="G9" s="40">
        <v>2478.0172288523981</v>
      </c>
      <c r="H9" s="40"/>
    </row>
    <row r="10" spans="1:8">
      <c r="A10" s="38" t="s">
        <v>26</v>
      </c>
      <c r="B10" s="38" t="s">
        <v>219</v>
      </c>
      <c r="C10" s="40">
        <v>4432.2</v>
      </c>
      <c r="D10" s="40">
        <v>2114.4</v>
      </c>
      <c r="E10" s="40"/>
      <c r="F10" s="40">
        <v>3999.5748931687726</v>
      </c>
      <c r="G10" s="40">
        <v>2153.6172501678006</v>
      </c>
      <c r="H10" s="40"/>
    </row>
    <row r="11" spans="1:8">
      <c r="A11" s="38" t="s">
        <v>27</v>
      </c>
      <c r="B11" s="38" t="s">
        <v>219</v>
      </c>
      <c r="C11" s="40">
        <v>4673.5</v>
      </c>
      <c r="D11" s="40">
        <v>2242.4</v>
      </c>
      <c r="E11" s="40"/>
      <c r="F11" s="40">
        <v>4489.8335164958262</v>
      </c>
      <c r="G11" s="40">
        <v>2417.6026627285214</v>
      </c>
      <c r="H11" s="40"/>
    </row>
    <row r="12" spans="1:8">
      <c r="A12" s="38" t="s">
        <v>28</v>
      </c>
      <c r="B12" s="38" t="s">
        <v>219</v>
      </c>
      <c r="C12" s="40">
        <v>4838.3999999999996</v>
      </c>
      <c r="D12" s="40">
        <v>2314</v>
      </c>
      <c r="E12" s="40"/>
      <c r="F12" s="40">
        <v>4732.1066939063776</v>
      </c>
      <c r="G12" s="40">
        <v>2548.0574505649724</v>
      </c>
      <c r="H12" s="40"/>
    </row>
    <row r="13" spans="1:8">
      <c r="A13" s="38" t="s">
        <v>29</v>
      </c>
      <c r="B13" s="38" t="s">
        <v>219</v>
      </c>
      <c r="C13" s="40">
        <v>4658.3999999999996</v>
      </c>
      <c r="D13" s="40">
        <v>2293.6999999999998</v>
      </c>
      <c r="E13" s="40"/>
      <c r="F13" s="40">
        <v>4594.8610493339493</v>
      </c>
      <c r="G13" s="40">
        <v>2474.155949641357</v>
      </c>
      <c r="H13" s="40"/>
    </row>
    <row r="14" spans="1:8">
      <c r="A14" s="38" t="s">
        <v>30</v>
      </c>
      <c r="B14" s="38" t="s">
        <v>219</v>
      </c>
      <c r="C14" s="40">
        <v>4445.3999999999996</v>
      </c>
      <c r="D14" s="40">
        <v>2159.9</v>
      </c>
      <c r="E14" s="40"/>
      <c r="F14" s="40">
        <v>4120.3597153760884</v>
      </c>
      <c r="G14" s="40">
        <v>2218.6552313563552</v>
      </c>
      <c r="H14" s="40"/>
    </row>
    <row r="15" spans="1:8">
      <c r="A15" s="38" t="s">
        <v>31</v>
      </c>
      <c r="B15" s="38" t="s">
        <v>219</v>
      </c>
      <c r="C15" s="40">
        <v>4761.3999999999996</v>
      </c>
      <c r="D15" s="40">
        <v>2322.4</v>
      </c>
      <c r="E15" s="40"/>
      <c r="F15" s="40">
        <v>4513.6818814434328</v>
      </c>
      <c r="G15" s="40">
        <v>2430.4440900080021</v>
      </c>
      <c r="H15" s="40"/>
    </row>
    <row r="16" spans="1:8">
      <c r="A16" s="38" t="s">
        <v>32</v>
      </c>
      <c r="B16" s="38" t="s">
        <v>219</v>
      </c>
      <c r="C16" s="40">
        <v>4923.1000000000004</v>
      </c>
      <c r="D16" s="40">
        <v>2400.3000000000002</v>
      </c>
      <c r="E16" s="40"/>
      <c r="F16" s="40">
        <v>4793.1700034986088</v>
      </c>
      <c r="G16" s="40">
        <v>2580.9376941915584</v>
      </c>
      <c r="H16" s="40"/>
    </row>
    <row r="17" spans="1:8">
      <c r="A17" s="38" t="s">
        <v>33</v>
      </c>
      <c r="B17" s="38" t="s">
        <v>219</v>
      </c>
      <c r="C17" s="40">
        <v>4744.3000000000011</v>
      </c>
      <c r="D17" s="40">
        <v>2348.8999999999996</v>
      </c>
      <c r="E17" s="40"/>
      <c r="F17" s="40">
        <v>4685.1580214119585</v>
      </c>
      <c r="G17" s="40">
        <v>2522.7773961449006</v>
      </c>
      <c r="H17" s="40"/>
    </row>
    <row r="18" spans="1:8">
      <c r="A18" s="38" t="s">
        <v>34</v>
      </c>
      <c r="B18" s="38" t="s">
        <v>219</v>
      </c>
      <c r="C18" s="40">
        <v>4490.5</v>
      </c>
      <c r="D18" s="40">
        <v>2209.8000000000002</v>
      </c>
      <c r="E18" s="40"/>
      <c r="F18" s="40">
        <v>4250.4694285803307</v>
      </c>
      <c r="G18" s="40">
        <v>2288.7143076971006</v>
      </c>
      <c r="H18" s="40"/>
    </row>
    <row r="19" spans="1:8">
      <c r="A19" s="38" t="s">
        <v>35</v>
      </c>
      <c r="B19" s="38" t="s">
        <v>219</v>
      </c>
      <c r="C19" s="40">
        <v>4785.8999999999996</v>
      </c>
      <c r="D19" s="40">
        <v>2395.8000000000002</v>
      </c>
      <c r="E19" s="40"/>
      <c r="F19" s="40">
        <v>4590.1133822656147</v>
      </c>
      <c r="G19" s="40">
        <v>2471.5995135276385</v>
      </c>
      <c r="H19" s="40"/>
    </row>
    <row r="20" spans="1:8">
      <c r="A20" s="38" t="s">
        <v>36</v>
      </c>
      <c r="B20" s="38" t="s">
        <v>219</v>
      </c>
      <c r="C20" s="40">
        <v>4596.2</v>
      </c>
      <c r="D20" s="40">
        <v>2390.9</v>
      </c>
      <c r="E20" s="40"/>
      <c r="F20" s="40">
        <v>4839.9515195742051</v>
      </c>
      <c r="G20" s="40">
        <v>2606.1277413091871</v>
      </c>
      <c r="H20" s="40"/>
    </row>
    <row r="21" spans="1:8">
      <c r="A21" s="38" t="s">
        <v>37</v>
      </c>
      <c r="B21" s="38" t="s">
        <v>219</v>
      </c>
      <c r="C21" s="40">
        <v>4296.7000000000007</v>
      </c>
      <c r="D21" s="40">
        <v>2275.5</v>
      </c>
      <c r="E21" s="40"/>
      <c r="F21" s="40">
        <v>4566.9158661506017</v>
      </c>
      <c r="G21" s="40">
        <v>2459.1085433118624</v>
      </c>
      <c r="H21" s="40"/>
    </row>
    <row r="22" spans="1:8">
      <c r="A22" s="38" t="s">
        <v>38</v>
      </c>
      <c r="B22" s="38" t="s">
        <v>219</v>
      </c>
      <c r="C22" s="40">
        <v>3914.1</v>
      </c>
      <c r="D22" s="40">
        <v>2044.8</v>
      </c>
      <c r="E22" s="40"/>
      <c r="F22" s="40">
        <v>4053.1233287973992</v>
      </c>
      <c r="G22" s="40">
        <v>2182.4510231985996</v>
      </c>
      <c r="H22" s="40"/>
    </row>
    <row r="23" spans="1:8">
      <c r="A23" s="38" t="s">
        <v>39</v>
      </c>
      <c r="B23" s="38" t="s">
        <v>219</v>
      </c>
      <c r="C23" s="40">
        <v>4261.1000000000004</v>
      </c>
      <c r="D23" s="40">
        <v>2236.6</v>
      </c>
      <c r="E23" s="40"/>
      <c r="F23" s="40">
        <v>4192.6868851014633</v>
      </c>
      <c r="G23" s="40">
        <v>2257.600630439249</v>
      </c>
      <c r="H23" s="40"/>
    </row>
    <row r="24" spans="1:8">
      <c r="A24" s="38" t="s">
        <v>40</v>
      </c>
      <c r="B24" s="38" t="s">
        <v>219</v>
      </c>
      <c r="C24" s="40">
        <v>4282.8999999999996</v>
      </c>
      <c r="D24" s="40">
        <v>2332.1999999999998</v>
      </c>
      <c r="E24" s="40"/>
      <c r="F24" s="40">
        <v>4326.393421656292</v>
      </c>
      <c r="G24" s="40">
        <v>2329.596457814926</v>
      </c>
      <c r="H24" s="40"/>
    </row>
    <row r="25" spans="1:8">
      <c r="A25" s="38" t="s">
        <v>41</v>
      </c>
      <c r="B25" s="38" t="s">
        <v>219</v>
      </c>
      <c r="C25" s="40">
        <v>4030.1999999999989</v>
      </c>
      <c r="D25" s="40">
        <v>2311.1000000000013</v>
      </c>
      <c r="E25" s="40"/>
      <c r="F25" s="40">
        <v>4220.5050085176081</v>
      </c>
      <c r="G25" s="40">
        <v>2272.5796199710194</v>
      </c>
      <c r="H25" s="40"/>
    </row>
    <row r="26" spans="1:8">
      <c r="A26" s="38" t="s">
        <v>42</v>
      </c>
      <c r="B26" s="38" t="s">
        <v>219</v>
      </c>
      <c r="C26" s="40">
        <v>3753.5</v>
      </c>
      <c r="D26" s="40">
        <v>2150.4</v>
      </c>
      <c r="E26" s="40"/>
      <c r="F26" s="40">
        <v>3858.2826383245642</v>
      </c>
      <c r="G26" s="40">
        <v>2077.5368052516883</v>
      </c>
      <c r="H26" s="40"/>
    </row>
    <row r="27" spans="1:8">
      <c r="A27" s="38" t="s">
        <v>43</v>
      </c>
      <c r="B27" s="38" t="s">
        <v>219</v>
      </c>
      <c r="C27" s="40">
        <v>3916.6</v>
      </c>
      <c r="D27" s="40">
        <v>2348.4</v>
      </c>
      <c r="E27" s="40"/>
      <c r="F27" s="40">
        <v>4129.5091557504102</v>
      </c>
      <c r="G27" s="40">
        <v>2223.5818530963743</v>
      </c>
      <c r="H27" s="40"/>
    </row>
    <row r="28" spans="1:8">
      <c r="A28" s="38" t="s">
        <v>44</v>
      </c>
      <c r="B28" s="38" t="s">
        <v>219</v>
      </c>
      <c r="C28" s="40">
        <v>3972.1</v>
      </c>
      <c r="D28" s="40">
        <v>2452</v>
      </c>
      <c r="E28" s="40"/>
      <c r="F28" s="40">
        <v>4196.2325699645471</v>
      </c>
      <c r="G28" s="40">
        <v>2259.5098453655251</v>
      </c>
      <c r="H28" s="40"/>
    </row>
    <row r="29" spans="1:8">
      <c r="A29" s="38" t="s">
        <v>45</v>
      </c>
      <c r="B29" s="38" t="s">
        <v>219</v>
      </c>
      <c r="C29" s="40">
        <v>3652.7999999999993</v>
      </c>
      <c r="D29" s="40">
        <v>2376.0999999999995</v>
      </c>
      <c r="E29" s="40"/>
      <c r="F29" s="40">
        <v>4082.5161462952933</v>
      </c>
      <c r="G29" s="40">
        <v>2198.2779249282344</v>
      </c>
      <c r="H29" s="40"/>
    </row>
    <row r="30" spans="1:8">
      <c r="A30" s="38" t="s">
        <v>46</v>
      </c>
      <c r="B30" s="38" t="s">
        <v>219</v>
      </c>
      <c r="C30" s="40">
        <v>3411.9</v>
      </c>
      <c r="D30" s="40">
        <v>2264</v>
      </c>
      <c r="E30" s="40"/>
      <c r="F30" s="40">
        <v>2851.934662087745</v>
      </c>
      <c r="G30" s="40">
        <v>2851.934662087745</v>
      </c>
      <c r="H30" s="40"/>
    </row>
    <row r="31" spans="1:8">
      <c r="A31" s="38" t="s">
        <v>47</v>
      </c>
      <c r="B31" s="38" t="s">
        <v>219</v>
      </c>
      <c r="C31" s="40">
        <v>3569.6</v>
      </c>
      <c r="D31" s="40">
        <v>2480.1</v>
      </c>
      <c r="E31" s="40"/>
      <c r="F31" s="40">
        <v>3048.1543962316905</v>
      </c>
      <c r="G31" s="40">
        <v>3048.1543962316905</v>
      </c>
      <c r="H31" s="40"/>
    </row>
    <row r="32" spans="1:8">
      <c r="A32" s="38" t="s">
        <v>48</v>
      </c>
      <c r="B32" s="38" t="s">
        <v>219</v>
      </c>
      <c r="C32" s="40">
        <v>3064.3</v>
      </c>
      <c r="D32" s="40">
        <v>2690.3</v>
      </c>
      <c r="E32" s="40"/>
      <c r="F32" s="40">
        <v>3114.5643743540595</v>
      </c>
      <c r="G32" s="40">
        <v>3114.5643743540595</v>
      </c>
      <c r="H32" s="40"/>
    </row>
    <row r="33" spans="1:8">
      <c r="A33" s="38" t="s">
        <v>49</v>
      </c>
      <c r="B33" s="38" t="s">
        <v>219</v>
      </c>
      <c r="C33" s="40">
        <v>2673.1000000000004</v>
      </c>
      <c r="D33" s="40">
        <v>2667.0999999999995</v>
      </c>
      <c r="E33" s="40"/>
      <c r="F33" s="40">
        <v>2879.9307705338997</v>
      </c>
      <c r="G33" s="40">
        <v>2879.9307705338997</v>
      </c>
      <c r="H33" s="40"/>
    </row>
    <row r="34" spans="1:8">
      <c r="A34" s="38" t="s">
        <v>50</v>
      </c>
      <c r="B34" s="38" t="s">
        <v>219</v>
      </c>
      <c r="C34" s="40">
        <v>2535.6</v>
      </c>
      <c r="D34" s="40">
        <v>2603.3000000000002</v>
      </c>
      <c r="E34" s="40"/>
      <c r="F34" s="40">
        <v>2581.1170236084076</v>
      </c>
      <c r="G34" s="40">
        <v>2581.1170236084076</v>
      </c>
      <c r="H34" s="40"/>
    </row>
    <row r="35" spans="1:8">
      <c r="A35" s="38" t="s">
        <v>51</v>
      </c>
      <c r="B35" s="38" t="s">
        <v>219</v>
      </c>
      <c r="C35" s="40">
        <v>2594.9</v>
      </c>
      <c r="D35" s="40">
        <v>2759</v>
      </c>
      <c r="E35" s="40"/>
      <c r="F35" s="40">
        <v>2757.8470770334866</v>
      </c>
      <c r="G35" s="40">
        <v>2757.8470770334866</v>
      </c>
      <c r="H35" s="40"/>
    </row>
    <row r="36" spans="1:8">
      <c r="A36" s="38" t="s">
        <v>52</v>
      </c>
      <c r="B36" s="38" t="s">
        <v>219</v>
      </c>
      <c r="C36" s="40">
        <v>2511</v>
      </c>
      <c r="D36" s="40">
        <v>2858.4</v>
      </c>
      <c r="E36" s="40"/>
      <c r="F36" s="40">
        <v>2741.883811407195</v>
      </c>
      <c r="G36" s="40">
        <v>2741.883811407195</v>
      </c>
      <c r="H36" s="40"/>
    </row>
    <row r="37" spans="1:8">
      <c r="A37" s="38" t="s">
        <v>53</v>
      </c>
      <c r="B37" s="38" t="s">
        <v>219</v>
      </c>
      <c r="C37" s="40">
        <v>2371.2000000000007</v>
      </c>
      <c r="D37" s="40">
        <v>2791.7999999999993</v>
      </c>
      <c r="E37" s="40"/>
      <c r="F37" s="40">
        <v>2625.2118743784135</v>
      </c>
      <c r="G37" s="40">
        <v>2625.2118743784135</v>
      </c>
      <c r="H37" s="40"/>
    </row>
    <row r="38" spans="1:8">
      <c r="A38" s="38" t="s">
        <v>54</v>
      </c>
      <c r="B38" s="38" t="s">
        <v>219</v>
      </c>
      <c r="C38" s="40">
        <v>2240.5</v>
      </c>
      <c r="D38" s="40">
        <v>2715.1</v>
      </c>
      <c r="E38" s="40"/>
      <c r="F38" s="40">
        <v>2470.2582984800429</v>
      </c>
      <c r="G38" s="40">
        <v>2470.2582984800429</v>
      </c>
      <c r="H38" s="40"/>
    </row>
    <row r="39" spans="1:8">
      <c r="A39" s="38" t="s">
        <v>55</v>
      </c>
      <c r="B39" s="38" t="s">
        <v>219</v>
      </c>
      <c r="C39" s="40">
        <v>2400.4</v>
      </c>
      <c r="D39" s="40">
        <v>2940.9</v>
      </c>
      <c r="E39" s="40"/>
      <c r="F39" s="40">
        <v>2638.2564890742196</v>
      </c>
      <c r="G39" s="40">
        <v>2638.2564890742196</v>
      </c>
      <c r="H39" s="40"/>
    </row>
    <row r="40" spans="1:8">
      <c r="A40" s="38" t="s">
        <v>56</v>
      </c>
      <c r="B40" s="38" t="s">
        <v>219</v>
      </c>
      <c r="C40" s="40">
        <v>2416.6</v>
      </c>
      <c r="D40" s="40">
        <v>3014</v>
      </c>
      <c r="E40" s="40"/>
      <c r="F40" s="40">
        <v>2694.1244533510257</v>
      </c>
      <c r="G40" s="40">
        <v>2694.1244533510257</v>
      </c>
      <c r="H40" s="40"/>
    </row>
    <row r="41" spans="1:8">
      <c r="A41" s="38" t="s">
        <v>57</v>
      </c>
      <c r="B41" s="38" t="s">
        <v>219</v>
      </c>
      <c r="C41" s="40">
        <v>2363.2999999999993</v>
      </c>
      <c r="D41" s="40">
        <v>2985.7000000000007</v>
      </c>
      <c r="E41" s="40"/>
      <c r="F41" s="40">
        <v>2626.609597273175</v>
      </c>
      <c r="G41" s="40">
        <v>2626.609597273175</v>
      </c>
      <c r="H41" s="40"/>
    </row>
    <row r="42" spans="1:8">
      <c r="A42" s="71" t="s">
        <v>59</v>
      </c>
      <c r="B42" s="38" t="s">
        <v>219</v>
      </c>
      <c r="C42" s="40">
        <v>2025.8</v>
      </c>
      <c r="D42" s="40">
        <v>2608</v>
      </c>
      <c r="E42" s="40">
        <v>80.599999999999994</v>
      </c>
      <c r="F42" s="40">
        <v>2026.8390496605198</v>
      </c>
      <c r="G42" s="40">
        <v>2938.9166220077532</v>
      </c>
      <c r="H42" s="40">
        <v>101.34195248302598</v>
      </c>
    </row>
    <row r="43" spans="1:8">
      <c r="A43" s="38" t="s">
        <v>60</v>
      </c>
      <c r="B43" s="38" t="s">
        <v>219</v>
      </c>
      <c r="C43" s="40">
        <v>1593.7</v>
      </c>
      <c r="D43" s="40">
        <v>2088</v>
      </c>
      <c r="E43" s="40">
        <v>79.8</v>
      </c>
      <c r="F43" s="40">
        <v>2074.384044024318</v>
      </c>
      <c r="G43" s="40">
        <v>3007.8568638352608</v>
      </c>
      <c r="H43" s="40">
        <v>103.71920220121591</v>
      </c>
    </row>
    <row r="44" spans="1:8">
      <c r="A44" s="38" t="s">
        <v>61</v>
      </c>
      <c r="B44" s="38" t="s">
        <v>219</v>
      </c>
      <c r="C44" s="40">
        <v>2286.4</v>
      </c>
      <c r="D44" s="40">
        <v>3044.8</v>
      </c>
      <c r="E44" s="40">
        <v>86.9</v>
      </c>
      <c r="F44" s="40">
        <v>1755.5345195204548</v>
      </c>
      <c r="G44" s="40">
        <v>2545.5250533046592</v>
      </c>
      <c r="H44" s="40">
        <v>87.776725976022732</v>
      </c>
    </row>
    <row r="45" spans="1:8">
      <c r="A45" s="38" t="s">
        <v>62</v>
      </c>
      <c r="B45" s="38" t="s">
        <v>219</v>
      </c>
      <c r="C45" s="40">
        <v>2233.1000000000004</v>
      </c>
      <c r="D45" s="40">
        <v>2985.2</v>
      </c>
      <c r="E45" s="40">
        <v>95.700000000000017</v>
      </c>
      <c r="F45" s="40">
        <v>1946.5905862096349</v>
      </c>
      <c r="G45" s="40">
        <v>2822.5563500039702</v>
      </c>
      <c r="H45" s="40">
        <v>97.329529310481746</v>
      </c>
    </row>
    <row r="46" spans="1:8">
      <c r="A46" s="38" t="s">
        <v>63</v>
      </c>
      <c r="B46" s="38" t="s">
        <v>219</v>
      </c>
      <c r="C46" s="40">
        <v>2161.5</v>
      </c>
      <c r="D46" s="40">
        <v>2877.4</v>
      </c>
      <c r="E46" s="40">
        <v>85.7</v>
      </c>
      <c r="F46" s="40">
        <v>1924.9908137802643</v>
      </c>
      <c r="G46" s="40">
        <v>2791.2366799813831</v>
      </c>
      <c r="H46" s="40">
        <v>96.249540689013216</v>
      </c>
    </row>
    <row r="47" spans="1:8">
      <c r="A47" s="38" t="s">
        <v>68</v>
      </c>
      <c r="B47" s="38" t="s">
        <v>219</v>
      </c>
      <c r="C47" s="40">
        <v>2488.6999999999998</v>
      </c>
      <c r="D47" s="40">
        <v>3306.2</v>
      </c>
      <c r="E47" s="40">
        <v>93</v>
      </c>
      <c r="F47" s="40">
        <v>2027.1620175895985</v>
      </c>
      <c r="G47" s="40">
        <v>2939.3849255049172</v>
      </c>
      <c r="H47" s="40">
        <v>101.35810087947992</v>
      </c>
    </row>
    <row r="48" spans="1:8">
      <c r="A48" s="38" t="s">
        <v>69</v>
      </c>
      <c r="B48" s="38" t="s">
        <v>219</v>
      </c>
      <c r="C48" s="40">
        <v>2598.4</v>
      </c>
      <c r="D48" s="40">
        <v>3510.2</v>
      </c>
      <c r="E48" s="40">
        <v>92.7</v>
      </c>
      <c r="F48" s="40">
        <v>2503.6280905291501</v>
      </c>
      <c r="G48" s="40">
        <v>3630.2607312672671</v>
      </c>
      <c r="H48" s="40">
        <v>125.1814045264575</v>
      </c>
    </row>
    <row r="49" spans="1:10">
      <c r="A49" s="38" t="s">
        <v>67</v>
      </c>
      <c r="B49" s="38" t="s">
        <v>219</v>
      </c>
      <c r="C49" s="40">
        <v>2538.3999999999996</v>
      </c>
      <c r="D49" s="40">
        <v>3391.2000000000007</v>
      </c>
      <c r="E49" s="40">
        <v>79.600000000000023</v>
      </c>
      <c r="F49" s="40">
        <v>2366.9297379920367</v>
      </c>
      <c r="G49" s="40">
        <v>3432.0481200884533</v>
      </c>
      <c r="H49" s="40">
        <v>118.34648689960184</v>
      </c>
    </row>
    <row r="50" spans="1:10">
      <c r="A50" s="38" t="s">
        <v>71</v>
      </c>
      <c r="B50" s="38" t="s">
        <v>219</v>
      </c>
      <c r="C50" s="40">
        <v>2302.4</v>
      </c>
      <c r="D50" s="40">
        <v>3262.8</v>
      </c>
      <c r="E50" s="40">
        <v>100.4</v>
      </c>
      <c r="F50" s="40">
        <v>2228.4955766003163</v>
      </c>
      <c r="G50" s="40">
        <v>3231.3185860704584</v>
      </c>
      <c r="H50" s="40">
        <v>111.42477883001582</v>
      </c>
    </row>
    <row r="51" spans="1:10">
      <c r="A51" s="38" t="s">
        <v>75</v>
      </c>
      <c r="B51" s="38" t="s">
        <v>219</v>
      </c>
      <c r="C51" s="40">
        <v>2112.8000000000002</v>
      </c>
      <c r="D51" s="40">
        <v>3526.8</v>
      </c>
      <c r="E51" s="40">
        <v>78.8</v>
      </c>
      <c r="F51" s="40">
        <v>2319.4667784213511</v>
      </c>
      <c r="G51" s="40">
        <v>3363.2268287109587</v>
      </c>
      <c r="H51" s="40">
        <v>115.97333892106755</v>
      </c>
    </row>
    <row r="52" spans="1:10">
      <c r="A52" s="38" t="s">
        <v>76</v>
      </c>
      <c r="B52" s="38" t="s">
        <v>219</v>
      </c>
      <c r="C52" s="40">
        <v>2124.8000000000002</v>
      </c>
      <c r="D52" s="40">
        <v>3671.2</v>
      </c>
      <c r="E52" s="40">
        <v>76.099999999999994</v>
      </c>
      <c r="F52" s="40">
        <v>2512.8147207957754</v>
      </c>
      <c r="G52" s="40">
        <v>3643.5813451538734</v>
      </c>
      <c r="H52" s="40">
        <v>125.64073603978876</v>
      </c>
    </row>
    <row r="53" spans="1:10">
      <c r="A53" s="38" t="s">
        <v>77</v>
      </c>
      <c r="B53" s="38" t="s">
        <v>219</v>
      </c>
      <c r="C53" s="40">
        <v>3246.9999999999991</v>
      </c>
      <c r="D53" s="40">
        <v>2624.2000000000007</v>
      </c>
      <c r="E53" s="40">
        <v>95.700000000000017</v>
      </c>
      <c r="F53" s="40">
        <v>2306.5762534161913</v>
      </c>
      <c r="G53" s="40">
        <v>3344.5355674534771</v>
      </c>
      <c r="H53" s="40">
        <v>115.32881267080957</v>
      </c>
    </row>
    <row r="54" spans="1:10">
      <c r="A54" s="38" t="s">
        <v>79</v>
      </c>
      <c r="B54" s="38" t="s">
        <v>219</v>
      </c>
      <c r="C54" s="40">
        <v>2224.3000000000002</v>
      </c>
      <c r="D54" s="40">
        <v>3587.5</v>
      </c>
      <c r="E54" s="40">
        <v>86</v>
      </c>
      <c r="F54" s="40">
        <v>2197.0457934941182</v>
      </c>
      <c r="G54" s="40">
        <v>3185.7164005664713</v>
      </c>
      <c r="H54" s="40">
        <v>109.85228967470591</v>
      </c>
    </row>
    <row r="55" spans="1:10">
      <c r="A55" s="38" t="s">
        <v>84</v>
      </c>
      <c r="B55" s="38" t="s">
        <v>219</v>
      </c>
      <c r="C55" s="40">
        <v>2487</v>
      </c>
      <c r="D55" s="40">
        <v>3933.3</v>
      </c>
      <c r="E55" s="40">
        <v>77.2</v>
      </c>
      <c r="F55" s="40">
        <v>2349.6065816425958</v>
      </c>
      <c r="G55" s="40">
        <v>3406.9295433817633</v>
      </c>
      <c r="H55" s="40">
        <v>117.48032908212977</v>
      </c>
    </row>
    <row r="56" spans="1:10">
      <c r="A56" s="38" t="s">
        <v>85</v>
      </c>
      <c r="B56" s="38" t="s">
        <v>219</v>
      </c>
      <c r="C56" s="40">
        <v>2556.1999999999998</v>
      </c>
      <c r="D56" s="40">
        <v>4047.1</v>
      </c>
      <c r="E56" s="40">
        <v>88.9</v>
      </c>
      <c r="F56" s="40">
        <v>2700.9776963022759</v>
      </c>
      <c r="G56" s="40">
        <v>3916.4176596382995</v>
      </c>
      <c r="H56" s="40">
        <v>135.04888481511378</v>
      </c>
    </row>
    <row r="57" spans="1:10">
      <c r="A57" s="38" t="s">
        <v>83</v>
      </c>
      <c r="B57" s="38" t="s">
        <v>219</v>
      </c>
      <c r="C57" s="40">
        <v>2474.5</v>
      </c>
      <c r="D57" s="40">
        <v>3868.1000000000004</v>
      </c>
      <c r="E57" s="40">
        <v>63.900000000000006</v>
      </c>
      <c r="F57" s="40">
        <v>2618.1709921002007</v>
      </c>
      <c r="G57" s="40">
        <v>3796.3479385452906</v>
      </c>
      <c r="H57" s="40">
        <v>130.90854960501002</v>
      </c>
    </row>
    <row r="58" spans="1:10">
      <c r="A58" s="38" t="s">
        <v>87</v>
      </c>
      <c r="B58" s="38" t="s">
        <v>219</v>
      </c>
      <c r="C58" s="40">
        <v>2355</v>
      </c>
      <c r="D58" s="40">
        <v>3723</v>
      </c>
      <c r="E58" s="40">
        <v>91</v>
      </c>
      <c r="F58" s="40">
        <v>2429.0964607561459</v>
      </c>
      <c r="G58" s="40">
        <v>3522.1898680964114</v>
      </c>
      <c r="H58" s="40">
        <v>121.45482303780729</v>
      </c>
    </row>
    <row r="59" spans="1:10">
      <c r="A59" s="38" t="s">
        <v>91</v>
      </c>
      <c r="B59" s="38" t="s">
        <v>219</v>
      </c>
      <c r="C59" s="40">
        <v>2461</v>
      </c>
      <c r="D59" s="40">
        <v>3940</v>
      </c>
      <c r="E59" s="40">
        <v>89</v>
      </c>
      <c r="F59" s="40">
        <v>2525.619730659826</v>
      </c>
      <c r="G59" s="40">
        <v>3662.1486094567467</v>
      </c>
      <c r="H59" s="40">
        <v>126.28098653299129</v>
      </c>
    </row>
    <row r="60" spans="1:10">
      <c r="A60" s="38" t="s">
        <v>92</v>
      </c>
      <c r="B60" s="38" t="s">
        <v>219</v>
      </c>
      <c r="C60" s="40">
        <v>2656</v>
      </c>
      <c r="D60" s="40">
        <v>4094</v>
      </c>
      <c r="E60" s="40">
        <v>124</v>
      </c>
      <c r="F60" s="40">
        <v>2717.4804920338252</v>
      </c>
      <c r="G60" s="40">
        <v>3940.3467134490461</v>
      </c>
      <c r="H60" s="40">
        <v>135.87402460169125</v>
      </c>
      <c r="J60" s="72"/>
    </row>
    <row r="61" spans="1:10">
      <c r="A61" s="38" t="s">
        <v>93</v>
      </c>
      <c r="B61" s="38" t="s">
        <v>219</v>
      </c>
      <c r="C61" s="40">
        <v>2310</v>
      </c>
      <c r="D61" s="40">
        <v>3958</v>
      </c>
      <c r="E61" s="40">
        <v>119</v>
      </c>
      <c r="F61" s="40">
        <v>2660.2773896747599</v>
      </c>
      <c r="G61" s="40">
        <v>3857.4022150284013</v>
      </c>
      <c r="H61" s="40">
        <v>133.01386948373798</v>
      </c>
    </row>
    <row r="62" spans="1:10">
      <c r="A62" s="38" t="s">
        <v>18</v>
      </c>
      <c r="B62" s="38" t="s">
        <v>220</v>
      </c>
      <c r="C62" s="40">
        <v>3110.9</v>
      </c>
      <c r="D62" s="40">
        <v>339.3</v>
      </c>
      <c r="E62" s="40">
        <v>485.7999999999999</v>
      </c>
      <c r="F62" s="40">
        <v>2487.9259999999995</v>
      </c>
      <c r="G62" s="40">
        <v>533.12699999999984</v>
      </c>
      <c r="H62" s="40">
        <v>533.12699999999984</v>
      </c>
    </row>
    <row r="63" spans="1:10">
      <c r="A63" s="38" t="s">
        <v>19</v>
      </c>
      <c r="B63" s="38" t="s">
        <v>220</v>
      </c>
      <c r="C63" s="40">
        <v>3214.8</v>
      </c>
      <c r="D63" s="40">
        <v>334.3</v>
      </c>
      <c r="E63" s="40">
        <v>551.09999999999991</v>
      </c>
      <c r="F63" s="40">
        <v>2940.9453272494852</v>
      </c>
      <c r="G63" s="40">
        <v>630.20257012488969</v>
      </c>
      <c r="H63" s="40">
        <v>630.20257012488969</v>
      </c>
    </row>
    <row r="64" spans="1:10">
      <c r="A64" s="38" t="s">
        <v>20</v>
      </c>
      <c r="B64" s="38" t="s">
        <v>220</v>
      </c>
      <c r="C64" s="40">
        <v>3354</v>
      </c>
      <c r="D64" s="40">
        <v>344.4</v>
      </c>
      <c r="E64" s="40">
        <v>510</v>
      </c>
      <c r="F64" s="40">
        <v>3131.2708012790031</v>
      </c>
      <c r="G64" s="40">
        <v>670.98660027407209</v>
      </c>
      <c r="H64" s="40">
        <v>670.98660027407209</v>
      </c>
    </row>
    <row r="65" spans="1:8">
      <c r="A65" s="38" t="s">
        <v>21</v>
      </c>
      <c r="B65" s="38" t="s">
        <v>220</v>
      </c>
      <c r="C65" s="40">
        <v>3379.7999999999993</v>
      </c>
      <c r="D65" s="40">
        <v>359.79999999999995</v>
      </c>
      <c r="E65" s="40">
        <v>617.30000000000041</v>
      </c>
      <c r="F65" s="40">
        <v>3068.5482217619574</v>
      </c>
      <c r="G65" s="40">
        <v>657.54604752041939</v>
      </c>
      <c r="H65" s="40">
        <v>657.54604752041939</v>
      </c>
    </row>
    <row r="66" spans="1:8">
      <c r="A66" s="38" t="s">
        <v>22</v>
      </c>
      <c r="B66" s="38" t="s">
        <v>220</v>
      </c>
      <c r="C66" s="40">
        <v>3416.7</v>
      </c>
      <c r="D66" s="40">
        <v>354.3</v>
      </c>
      <c r="E66" s="40">
        <v>514.70000000000005</v>
      </c>
      <c r="F66" s="40">
        <v>2646.3539466894408</v>
      </c>
      <c r="G66" s="40">
        <v>567.07584571916584</v>
      </c>
      <c r="H66" s="40">
        <v>567.07584571916584</v>
      </c>
    </row>
    <row r="67" spans="1:8">
      <c r="A67" s="38" t="s">
        <v>23</v>
      </c>
      <c r="B67" s="38" t="s">
        <v>220</v>
      </c>
      <c r="C67" s="40">
        <v>3806.8</v>
      </c>
      <c r="D67" s="40">
        <v>373</v>
      </c>
      <c r="E67" s="40">
        <v>536.5</v>
      </c>
      <c r="F67" s="40">
        <v>3109.4023029051978</v>
      </c>
      <c r="G67" s="40">
        <v>666.30049347968531</v>
      </c>
      <c r="H67" s="40">
        <v>666.30049347968531</v>
      </c>
    </row>
    <row r="68" spans="1:8">
      <c r="A68" s="38" t="s">
        <v>24</v>
      </c>
      <c r="B68" s="38" t="s">
        <v>220</v>
      </c>
      <c r="C68" s="40">
        <v>3883.3</v>
      </c>
      <c r="D68" s="40">
        <v>376.2</v>
      </c>
      <c r="E68" s="40">
        <v>512.09999999999991</v>
      </c>
      <c r="F68" s="40">
        <v>3502.4178354979053</v>
      </c>
      <c r="G68" s="40">
        <v>750.518107606694</v>
      </c>
      <c r="H68" s="40">
        <v>750.518107606694</v>
      </c>
    </row>
    <row r="69" spans="1:8">
      <c r="A69" s="38" t="s">
        <v>25</v>
      </c>
      <c r="B69" s="38" t="s">
        <v>220</v>
      </c>
      <c r="C69" s="40">
        <v>3731.1000000000004</v>
      </c>
      <c r="D69" s="40">
        <v>378</v>
      </c>
      <c r="E69" s="40">
        <v>593.5999999999998</v>
      </c>
      <c r="F69" s="40">
        <v>3469.2241203933572</v>
      </c>
      <c r="G69" s="40">
        <v>743.40516865571942</v>
      </c>
      <c r="H69" s="40">
        <v>743.40516865571942</v>
      </c>
    </row>
    <row r="70" spans="1:8">
      <c r="A70" s="38" t="s">
        <v>26</v>
      </c>
      <c r="B70" s="38" t="s">
        <v>220</v>
      </c>
      <c r="C70" s="40">
        <v>3654.4</v>
      </c>
      <c r="D70" s="40">
        <v>374.7</v>
      </c>
      <c r="E70" s="40">
        <v>552.9</v>
      </c>
      <c r="F70" s="40">
        <v>3015.0641502349208</v>
      </c>
      <c r="G70" s="40">
        <v>646.08517505034013</v>
      </c>
      <c r="H70" s="40">
        <v>646.08517505034013</v>
      </c>
    </row>
    <row r="71" spans="1:8">
      <c r="A71" s="38" t="s">
        <v>27</v>
      </c>
      <c r="B71" s="38" t="s">
        <v>220</v>
      </c>
      <c r="C71" s="40">
        <v>3823.8</v>
      </c>
      <c r="D71" s="40">
        <v>376.2</v>
      </c>
      <c r="E71" s="40">
        <v>560.9</v>
      </c>
      <c r="F71" s="40">
        <v>3384.6437278199296</v>
      </c>
      <c r="G71" s="40">
        <v>725.28079881855638</v>
      </c>
      <c r="H71" s="40">
        <v>725.28079881855638</v>
      </c>
    </row>
    <row r="72" spans="1:8">
      <c r="A72" s="38" t="s">
        <v>28</v>
      </c>
      <c r="B72" s="38" t="s">
        <v>220</v>
      </c>
      <c r="C72" s="40">
        <v>3914.4</v>
      </c>
      <c r="D72" s="40">
        <v>383.4</v>
      </c>
      <c r="E72" s="40">
        <v>567.4</v>
      </c>
      <c r="F72" s="40">
        <v>3567.2804307909614</v>
      </c>
      <c r="G72" s="40">
        <v>764.41723516949173</v>
      </c>
      <c r="H72" s="40">
        <v>764.41723516949173</v>
      </c>
    </row>
    <row r="73" spans="1:8">
      <c r="A73" s="38" t="s">
        <v>29</v>
      </c>
      <c r="B73" s="38" t="s">
        <v>220</v>
      </c>
      <c r="C73" s="40">
        <v>3831.1000000000031</v>
      </c>
      <c r="D73" s="40">
        <v>392.70000000000005</v>
      </c>
      <c r="E73" s="40">
        <v>530.5</v>
      </c>
      <c r="F73" s="40">
        <v>3463.8183294978994</v>
      </c>
      <c r="G73" s="40">
        <v>742.24678489240705</v>
      </c>
      <c r="H73" s="40">
        <v>742.24678489240705</v>
      </c>
    </row>
    <row r="74" spans="1:8">
      <c r="A74" s="38" t="s">
        <v>30</v>
      </c>
      <c r="B74" s="38" t="s">
        <v>220</v>
      </c>
      <c r="C74" s="40">
        <v>3726</v>
      </c>
      <c r="D74" s="40">
        <v>395.2</v>
      </c>
      <c r="E74" s="40">
        <v>534.6</v>
      </c>
      <c r="F74" s="40">
        <v>3106.1173238988972</v>
      </c>
      <c r="G74" s="40">
        <v>665.5965694069065</v>
      </c>
      <c r="H74" s="40">
        <v>665.5965694069065</v>
      </c>
    </row>
    <row r="75" spans="1:8">
      <c r="A75" s="38" t="s">
        <v>31</v>
      </c>
      <c r="B75" s="38" t="s">
        <v>220</v>
      </c>
      <c r="C75" s="40">
        <v>3919.5</v>
      </c>
      <c r="D75" s="40">
        <v>399.1</v>
      </c>
      <c r="E75" s="40">
        <v>567.5</v>
      </c>
      <c r="F75" s="40">
        <v>3402.621726011203</v>
      </c>
      <c r="G75" s="40">
        <v>729.13322700240064</v>
      </c>
      <c r="H75" s="40">
        <v>729.13322700240064</v>
      </c>
    </row>
    <row r="76" spans="1:8">
      <c r="A76" s="38" t="s">
        <v>32</v>
      </c>
      <c r="B76" s="38" t="s">
        <v>220</v>
      </c>
      <c r="C76" s="40">
        <v>4004.4</v>
      </c>
      <c r="D76" s="40">
        <v>408.4</v>
      </c>
      <c r="E76" s="40">
        <v>493.9</v>
      </c>
      <c r="F76" s="40">
        <v>3613.3127718681817</v>
      </c>
      <c r="G76" s="40">
        <v>774.28130825746746</v>
      </c>
      <c r="H76" s="40">
        <v>774.28130825746746</v>
      </c>
    </row>
    <row r="77" spans="1:8">
      <c r="A77" s="38" t="s">
        <v>33</v>
      </c>
      <c r="B77" s="38" t="s">
        <v>220</v>
      </c>
      <c r="C77" s="40">
        <v>3928.7000000000025</v>
      </c>
      <c r="D77" s="40">
        <v>421.70000000000027</v>
      </c>
      <c r="E77" s="40">
        <v>542.4</v>
      </c>
      <c r="F77" s="40">
        <v>3531.8883546028605</v>
      </c>
      <c r="G77" s="40">
        <v>756.83321884347015</v>
      </c>
      <c r="H77" s="40">
        <v>756.83321884347015</v>
      </c>
    </row>
    <row r="78" spans="1:8">
      <c r="A78" s="38" t="s">
        <v>34</v>
      </c>
      <c r="B78" s="38" t="s">
        <v>220</v>
      </c>
      <c r="C78" s="40">
        <v>3767.1</v>
      </c>
      <c r="D78" s="40">
        <v>417.1</v>
      </c>
      <c r="E78" s="40">
        <v>580.1</v>
      </c>
      <c r="F78" s="40">
        <v>3204.2000307759408</v>
      </c>
      <c r="G78" s="40">
        <v>686.61429230913018</v>
      </c>
      <c r="H78" s="40">
        <v>686.61429230913018</v>
      </c>
    </row>
    <row r="79" spans="1:8">
      <c r="A79" s="38" t="s">
        <v>35</v>
      </c>
      <c r="B79" s="38" t="s">
        <v>220</v>
      </c>
      <c r="C79" s="40">
        <v>3969.8</v>
      </c>
      <c r="D79" s="40">
        <v>427.6</v>
      </c>
      <c r="E79" s="40">
        <v>595.30000000000007</v>
      </c>
      <c r="F79" s="40">
        <v>3460.2393189386935</v>
      </c>
      <c r="G79" s="40">
        <v>741.47985405829149</v>
      </c>
      <c r="H79" s="40">
        <v>741.47985405829149</v>
      </c>
    </row>
    <row r="80" spans="1:8">
      <c r="A80" s="38" t="s">
        <v>36</v>
      </c>
      <c r="B80" s="38" t="s">
        <v>220</v>
      </c>
      <c r="C80" s="40">
        <v>3874.7</v>
      </c>
      <c r="D80" s="40">
        <v>431.2</v>
      </c>
      <c r="E80" s="40">
        <v>608.69999999999993</v>
      </c>
      <c r="F80" s="40">
        <v>3648.5788378328616</v>
      </c>
      <c r="G80" s="40">
        <v>781.83832239275614</v>
      </c>
      <c r="H80" s="40">
        <v>781.83832239275614</v>
      </c>
    </row>
    <row r="81" spans="1:8">
      <c r="A81" s="38" t="s">
        <v>37</v>
      </c>
      <c r="B81" s="38" t="s">
        <v>220</v>
      </c>
      <c r="C81" s="40">
        <v>3676.7000000000025</v>
      </c>
      <c r="D81" s="40">
        <v>421.39999999999986</v>
      </c>
      <c r="E81" s="40">
        <v>722.4000000000002</v>
      </c>
      <c r="F81" s="40">
        <v>3442.7519606366072</v>
      </c>
      <c r="G81" s="40">
        <v>737.73256299355864</v>
      </c>
      <c r="H81" s="40">
        <v>737.73256299355864</v>
      </c>
    </row>
    <row r="82" spans="1:8">
      <c r="A82" s="38" t="s">
        <v>38</v>
      </c>
      <c r="B82" s="38" t="s">
        <v>220</v>
      </c>
      <c r="C82" s="40">
        <v>3354.3</v>
      </c>
      <c r="D82" s="40">
        <v>403.6</v>
      </c>
      <c r="E82" s="40">
        <v>815.5</v>
      </c>
      <c r="F82" s="40">
        <v>3055.4314324780394</v>
      </c>
      <c r="G82" s="40">
        <v>654.73530695957982</v>
      </c>
      <c r="H82" s="40">
        <v>654.73530695957982</v>
      </c>
    </row>
    <row r="83" spans="1:8">
      <c r="A83" s="38" t="s">
        <v>39</v>
      </c>
      <c r="B83" s="38" t="s">
        <v>220</v>
      </c>
      <c r="C83" s="40">
        <v>3596.3</v>
      </c>
      <c r="D83" s="40">
        <v>411</v>
      </c>
      <c r="E83" s="40">
        <v>641.1</v>
      </c>
      <c r="F83" s="40">
        <v>3160.6408826149486</v>
      </c>
      <c r="G83" s="40">
        <v>677.2801891317747</v>
      </c>
      <c r="H83" s="40">
        <v>677.2801891317747</v>
      </c>
    </row>
    <row r="84" spans="1:8">
      <c r="A84" s="38" t="s">
        <v>40</v>
      </c>
      <c r="B84" s="38" t="s">
        <v>220</v>
      </c>
      <c r="C84" s="40">
        <v>3607.7</v>
      </c>
      <c r="D84" s="40">
        <v>416.1</v>
      </c>
      <c r="E84" s="40">
        <v>561</v>
      </c>
      <c r="F84" s="40">
        <v>3261.4350409408962</v>
      </c>
      <c r="G84" s="40">
        <v>698.87893734447778</v>
      </c>
      <c r="H84" s="40">
        <v>698.87893734447778</v>
      </c>
    </row>
    <row r="85" spans="1:8">
      <c r="A85" s="38" t="s">
        <v>41</v>
      </c>
      <c r="B85" s="38" t="s">
        <v>220</v>
      </c>
      <c r="C85" s="40">
        <v>3418.6000000000022</v>
      </c>
      <c r="D85" s="40">
        <v>416.20000000000005</v>
      </c>
      <c r="E85" s="40">
        <v>626.10000000000036</v>
      </c>
      <c r="F85" s="40">
        <v>3181.611467959427</v>
      </c>
      <c r="G85" s="40">
        <v>681.77388599130575</v>
      </c>
      <c r="H85" s="40">
        <v>681.77388599130575</v>
      </c>
    </row>
    <row r="86" spans="1:8">
      <c r="A86" s="38" t="s">
        <v>42</v>
      </c>
      <c r="B86" s="38" t="s">
        <v>220</v>
      </c>
      <c r="C86" s="40">
        <v>3175.3</v>
      </c>
      <c r="D86" s="40">
        <v>415.1</v>
      </c>
      <c r="E86" s="40">
        <v>533.20000000000005</v>
      </c>
      <c r="F86" s="40">
        <v>2908.5515273523633</v>
      </c>
      <c r="G86" s="40">
        <v>623.26104157550651</v>
      </c>
      <c r="H86" s="40">
        <v>623.26104157550651</v>
      </c>
    </row>
    <row r="87" spans="1:8">
      <c r="A87" s="38" t="s">
        <v>43</v>
      </c>
      <c r="B87" s="38" t="s">
        <v>220</v>
      </c>
      <c r="C87" s="40">
        <v>3248.1</v>
      </c>
      <c r="D87" s="40">
        <v>430.9</v>
      </c>
      <c r="E87" s="40">
        <v>728.1</v>
      </c>
      <c r="F87" s="40">
        <v>3113.0145943349239</v>
      </c>
      <c r="G87" s="40">
        <v>667.07455592891222</v>
      </c>
      <c r="H87" s="40">
        <v>667.07455592891222</v>
      </c>
    </row>
    <row r="88" spans="1:8">
      <c r="A88" s="38" t="s">
        <v>44</v>
      </c>
      <c r="B88" s="38" t="s">
        <v>220</v>
      </c>
      <c r="C88" s="40">
        <v>3239.5</v>
      </c>
      <c r="D88" s="40">
        <v>437.6</v>
      </c>
      <c r="E88" s="40">
        <v>609.69999999999993</v>
      </c>
      <c r="F88" s="40">
        <v>3163.313783511735</v>
      </c>
      <c r="G88" s="40">
        <v>677.85295360965745</v>
      </c>
      <c r="H88" s="40">
        <v>677.85295360965745</v>
      </c>
    </row>
    <row r="89" spans="1:8">
      <c r="A89" s="38" t="s">
        <v>45</v>
      </c>
      <c r="B89" s="38" t="s">
        <v>220</v>
      </c>
      <c r="C89" s="40">
        <v>3035.8999999999996</v>
      </c>
      <c r="D89" s="40">
        <v>434.80000000000018</v>
      </c>
      <c r="E89" s="40">
        <v>589.20000000000005</v>
      </c>
      <c r="F89" s="40">
        <v>3077.5890948995279</v>
      </c>
      <c r="G89" s="40">
        <v>659.48337747847029</v>
      </c>
      <c r="H89" s="40">
        <v>659.48337747847029</v>
      </c>
    </row>
    <row r="90" spans="1:8">
      <c r="A90" s="38" t="s">
        <v>46</v>
      </c>
      <c r="B90" s="38" t="s">
        <v>220</v>
      </c>
      <c r="C90" s="40">
        <v>2816.4</v>
      </c>
      <c r="D90" s="40">
        <v>430.1</v>
      </c>
      <c r="E90" s="40">
        <v>395.4</v>
      </c>
      <c r="F90" s="40">
        <v>2395.6251161537057</v>
      </c>
      <c r="G90" s="40">
        <v>513.34823917579411</v>
      </c>
      <c r="H90" s="40">
        <v>513.34823917579411</v>
      </c>
    </row>
    <row r="91" spans="1:8">
      <c r="A91" s="38" t="s">
        <v>47</v>
      </c>
      <c r="B91" s="38" t="s">
        <v>220</v>
      </c>
      <c r="C91" s="40">
        <v>2903.3</v>
      </c>
      <c r="D91" s="40">
        <v>438</v>
      </c>
      <c r="E91" s="40">
        <v>413.29999999999995</v>
      </c>
      <c r="F91" s="40">
        <v>2560.4496928346198</v>
      </c>
      <c r="G91" s="40">
        <v>548.66779132170427</v>
      </c>
      <c r="H91" s="40">
        <v>548.66779132170427</v>
      </c>
    </row>
    <row r="92" spans="1:8">
      <c r="A92" s="38" t="s">
        <v>48</v>
      </c>
      <c r="B92" s="38" t="s">
        <v>220</v>
      </c>
      <c r="C92" s="40">
        <v>2479.8000000000002</v>
      </c>
      <c r="D92" s="40">
        <v>457.3</v>
      </c>
      <c r="E92" s="40">
        <v>-261.89999999999998</v>
      </c>
      <c r="F92" s="40">
        <v>2616.2340744574099</v>
      </c>
      <c r="G92" s="40">
        <v>560.62158738373068</v>
      </c>
      <c r="H92" s="40">
        <v>560.62158738373068</v>
      </c>
    </row>
    <row r="93" spans="1:8">
      <c r="A93" s="38" t="s">
        <v>49</v>
      </c>
      <c r="B93" s="38" t="s">
        <v>220</v>
      </c>
      <c r="C93" s="40">
        <v>2210.1000000000004</v>
      </c>
      <c r="D93" s="40">
        <v>464.59999999999991</v>
      </c>
      <c r="E93" s="40">
        <v>521.30000000000041</v>
      </c>
      <c r="F93" s="40">
        <v>2419.1418472484756</v>
      </c>
      <c r="G93" s="40">
        <v>518.38753869610196</v>
      </c>
      <c r="H93" s="40">
        <v>518.38753869610196</v>
      </c>
    </row>
    <row r="94" spans="1:8">
      <c r="A94" s="38" t="s">
        <v>50</v>
      </c>
      <c r="B94" s="38" t="s">
        <v>220</v>
      </c>
      <c r="C94" s="40">
        <v>2130.9</v>
      </c>
      <c r="D94" s="40">
        <v>480.3</v>
      </c>
      <c r="E94" s="40">
        <v>384.6</v>
      </c>
      <c r="F94" s="40">
        <v>2168.1382998310623</v>
      </c>
      <c r="G94" s="40">
        <v>464.60106424951334</v>
      </c>
      <c r="H94" s="40">
        <v>464.60106424951334</v>
      </c>
    </row>
    <row r="95" spans="1:8">
      <c r="A95" s="38" t="s">
        <v>51</v>
      </c>
      <c r="B95" s="38" t="s">
        <v>220</v>
      </c>
      <c r="C95" s="40">
        <v>2130.5</v>
      </c>
      <c r="D95" s="40">
        <v>483.9</v>
      </c>
      <c r="E95" s="40">
        <v>477.20000000000005</v>
      </c>
      <c r="F95" s="40">
        <v>2316.5915447081284</v>
      </c>
      <c r="G95" s="40">
        <v>496.41247386602754</v>
      </c>
      <c r="H95" s="40">
        <v>496.41247386602754</v>
      </c>
    </row>
    <row r="96" spans="1:8">
      <c r="A96" s="38" t="s">
        <v>52</v>
      </c>
      <c r="B96" s="38" t="s">
        <v>220</v>
      </c>
      <c r="C96" s="40">
        <v>2047.9</v>
      </c>
      <c r="D96" s="40">
        <v>499.4</v>
      </c>
      <c r="E96" s="40">
        <v>404.40000000000003</v>
      </c>
      <c r="F96" s="40">
        <v>2303.1824015820434</v>
      </c>
      <c r="G96" s="40">
        <v>493.53908605329508</v>
      </c>
      <c r="H96" s="40">
        <v>493.53908605329508</v>
      </c>
    </row>
    <row r="97" spans="1:8">
      <c r="A97" s="38" t="s">
        <v>53</v>
      </c>
      <c r="B97" s="38" t="s">
        <v>220</v>
      </c>
      <c r="C97" s="40">
        <v>1956.6000000000022</v>
      </c>
      <c r="D97" s="40">
        <v>509.70000000000005</v>
      </c>
      <c r="E97" s="40">
        <v>697.1999999999997</v>
      </c>
      <c r="F97" s="40">
        <v>2205.1779744778669</v>
      </c>
      <c r="G97" s="40">
        <v>472.53813738811436</v>
      </c>
      <c r="H97" s="40">
        <v>472.53813738811436</v>
      </c>
    </row>
    <row r="98" spans="1:8">
      <c r="A98" s="38" t="s">
        <v>54</v>
      </c>
      <c r="B98" s="38" t="s">
        <v>220</v>
      </c>
      <c r="C98" s="40">
        <v>1886.2</v>
      </c>
      <c r="D98" s="40">
        <v>533.1</v>
      </c>
      <c r="E98" s="40">
        <v>442.3</v>
      </c>
      <c r="F98" s="40">
        <v>2075.0169707232358</v>
      </c>
      <c r="G98" s="40">
        <v>444.64649372640764</v>
      </c>
      <c r="H98" s="40">
        <v>444.64649372640764</v>
      </c>
    </row>
    <row r="99" spans="1:8">
      <c r="A99" s="38" t="s">
        <v>55</v>
      </c>
      <c r="B99" s="38" t="s">
        <v>220</v>
      </c>
      <c r="C99" s="40">
        <v>1967.1</v>
      </c>
      <c r="D99" s="40">
        <v>544.70000000000005</v>
      </c>
      <c r="E99" s="40">
        <v>555.6</v>
      </c>
      <c r="F99" s="40">
        <v>2216.1354508223444</v>
      </c>
      <c r="G99" s="40">
        <v>474.88616803335952</v>
      </c>
      <c r="H99" s="40">
        <v>474.88616803335952</v>
      </c>
    </row>
    <row r="100" spans="1:8">
      <c r="A100" s="38" t="s">
        <v>56</v>
      </c>
      <c r="B100" s="38" t="s">
        <v>220</v>
      </c>
      <c r="C100" s="40">
        <v>1967.7</v>
      </c>
      <c r="D100" s="40">
        <v>559.5</v>
      </c>
      <c r="E100" s="40">
        <v>494.1</v>
      </c>
      <c r="F100" s="40">
        <v>2263.0645408148616</v>
      </c>
      <c r="G100" s="40">
        <v>484.94240160318463</v>
      </c>
      <c r="H100" s="40">
        <v>484.94240160318463</v>
      </c>
    </row>
    <row r="101" spans="1:8">
      <c r="A101" s="38" t="s">
        <v>57</v>
      </c>
      <c r="B101" s="38" t="s">
        <v>220</v>
      </c>
      <c r="C101" s="40">
        <v>1939.6000000000004</v>
      </c>
      <c r="D101" s="40">
        <v>563.29999999999973</v>
      </c>
      <c r="E101" s="40">
        <v>553.49999999999989</v>
      </c>
      <c r="F101" s="40">
        <v>2206.3520617094669</v>
      </c>
      <c r="G101" s="40">
        <v>472.78972750917148</v>
      </c>
      <c r="H101" s="40">
        <v>472.78972750917148</v>
      </c>
    </row>
    <row r="102" spans="1:8">
      <c r="A102" s="38" t="s">
        <v>59</v>
      </c>
      <c r="B102" s="38" t="s">
        <v>220</v>
      </c>
      <c r="C102" s="40">
        <v>1752.8</v>
      </c>
      <c r="D102" s="40">
        <v>554.20000000000005</v>
      </c>
      <c r="E102" s="40">
        <v>713.8</v>
      </c>
      <c r="F102" s="40">
        <v>2128.1810021435454</v>
      </c>
      <c r="G102" s="40">
        <v>456.03878617361687</v>
      </c>
      <c r="H102" s="40">
        <v>456.03878617361687</v>
      </c>
    </row>
    <row r="103" spans="1:8">
      <c r="A103" s="38" t="s">
        <v>60</v>
      </c>
      <c r="B103" s="38" t="s">
        <v>220</v>
      </c>
      <c r="C103" s="40">
        <v>1448.4</v>
      </c>
      <c r="D103" s="40">
        <v>524.5</v>
      </c>
      <c r="E103" s="40">
        <v>827.5</v>
      </c>
      <c r="F103" s="40">
        <v>2178.1032462255339</v>
      </c>
      <c r="G103" s="40">
        <v>466.73640990547153</v>
      </c>
      <c r="H103" s="40">
        <v>466.73640990547153</v>
      </c>
    </row>
    <row r="104" spans="1:8">
      <c r="A104" s="38" t="s">
        <v>61</v>
      </c>
      <c r="B104" s="38" t="s">
        <v>220</v>
      </c>
      <c r="C104" s="40">
        <v>1876.3</v>
      </c>
      <c r="D104" s="40">
        <v>567.9</v>
      </c>
      <c r="E104" s="40">
        <v>447.50000000000006</v>
      </c>
      <c r="F104" s="40">
        <v>1843.3112454964771</v>
      </c>
      <c r="G104" s="40">
        <v>394.99526689210228</v>
      </c>
      <c r="H104" s="40">
        <v>394.99526689210228</v>
      </c>
    </row>
    <row r="105" spans="1:8">
      <c r="A105" s="38" t="s">
        <v>62</v>
      </c>
      <c r="B105" s="38" t="s">
        <v>220</v>
      </c>
      <c r="C105" s="40">
        <v>1903.5</v>
      </c>
      <c r="D105" s="40">
        <v>561.40000000000009</v>
      </c>
      <c r="E105" s="40">
        <v>706.2</v>
      </c>
      <c r="F105" s="40">
        <v>2043.9201155201165</v>
      </c>
      <c r="G105" s="40">
        <v>437.98288189716783</v>
      </c>
      <c r="H105" s="40">
        <v>437.98288189716783</v>
      </c>
    </row>
    <row r="106" spans="1:8">
      <c r="A106" s="38" t="s">
        <v>63</v>
      </c>
      <c r="B106" s="38" t="s">
        <v>220</v>
      </c>
      <c r="C106" s="40">
        <v>1817.6</v>
      </c>
      <c r="D106" s="40">
        <v>571.5</v>
      </c>
      <c r="E106" s="40">
        <v>454.20000000000005</v>
      </c>
      <c r="F106" s="40">
        <v>2021.240354469277</v>
      </c>
      <c r="G106" s="40">
        <v>433.12293310055941</v>
      </c>
      <c r="H106" s="40">
        <v>433.12293310055941</v>
      </c>
    </row>
    <row r="107" spans="1:8">
      <c r="A107" s="38" t="s">
        <v>68</v>
      </c>
      <c r="B107" s="38" t="s">
        <v>220</v>
      </c>
      <c r="C107" s="40">
        <v>2021</v>
      </c>
      <c r="D107" s="40">
        <v>579.1</v>
      </c>
      <c r="E107" s="40">
        <v>596.69999999999993</v>
      </c>
      <c r="F107" s="40">
        <v>2128.5201184690782</v>
      </c>
      <c r="G107" s="40">
        <v>456.11145395765965</v>
      </c>
      <c r="H107" s="40">
        <v>456.11145395765965</v>
      </c>
    </row>
    <row r="108" spans="1:8">
      <c r="A108" s="38" t="s">
        <v>69</v>
      </c>
      <c r="B108" s="38" t="s">
        <v>220</v>
      </c>
      <c r="C108" s="40">
        <v>2108.4</v>
      </c>
      <c r="D108" s="40">
        <v>592.6</v>
      </c>
      <c r="E108" s="40">
        <v>513.79999999999995</v>
      </c>
      <c r="F108" s="40">
        <v>2628.8094950556074</v>
      </c>
      <c r="G108" s="40">
        <v>563.31632036905876</v>
      </c>
      <c r="H108" s="40">
        <v>563.31632036905876</v>
      </c>
    </row>
    <row r="109" spans="1:8">
      <c r="A109" s="38" t="s">
        <v>67</v>
      </c>
      <c r="B109" s="38" t="s">
        <v>220</v>
      </c>
      <c r="C109" s="40">
        <v>2100</v>
      </c>
      <c r="D109" s="40">
        <v>591.80000000000018</v>
      </c>
      <c r="E109" s="40">
        <v>920.3</v>
      </c>
      <c r="F109" s="40">
        <v>2485.2762248916388</v>
      </c>
      <c r="G109" s="40">
        <v>532.55919104820828</v>
      </c>
      <c r="H109" s="40">
        <v>532.55919104820828</v>
      </c>
    </row>
    <row r="110" spans="1:8">
      <c r="A110" s="38" t="s">
        <v>71</v>
      </c>
      <c r="B110" s="38" t="s">
        <v>220</v>
      </c>
      <c r="C110" s="40">
        <v>1959.2</v>
      </c>
      <c r="D110" s="40">
        <v>584</v>
      </c>
      <c r="E110" s="40">
        <v>809.8</v>
      </c>
      <c r="F110" s="40">
        <v>2339.9203554303322</v>
      </c>
      <c r="G110" s="40">
        <v>501.41150473507116</v>
      </c>
      <c r="H110" s="40">
        <v>501.41150473507116</v>
      </c>
    </row>
    <row r="111" spans="1:8">
      <c r="A111" s="38" t="s">
        <v>75</v>
      </c>
      <c r="B111" s="38" t="s">
        <v>220</v>
      </c>
      <c r="C111" s="40">
        <v>1769.8</v>
      </c>
      <c r="D111" s="40">
        <v>588.6</v>
      </c>
      <c r="E111" s="40">
        <v>1648.2</v>
      </c>
      <c r="F111" s="40">
        <v>2435.4401173424185</v>
      </c>
      <c r="G111" s="40">
        <v>521.88002514480399</v>
      </c>
      <c r="H111" s="40">
        <v>521.88002514480399</v>
      </c>
    </row>
    <row r="112" spans="1:8">
      <c r="A112" s="38" t="s">
        <v>76</v>
      </c>
      <c r="B112" s="38" t="s">
        <v>220</v>
      </c>
      <c r="C112" s="40">
        <v>1779.6</v>
      </c>
      <c r="D112" s="40">
        <v>589</v>
      </c>
      <c r="E112" s="40">
        <v>739.59999999999991</v>
      </c>
      <c r="F112" s="40">
        <v>2638.4554568355634</v>
      </c>
      <c r="G112" s="40">
        <v>565.38331217904931</v>
      </c>
      <c r="H112" s="40">
        <v>565.38331217904931</v>
      </c>
    </row>
    <row r="113" spans="1:8">
      <c r="A113" s="38" t="s">
        <v>77</v>
      </c>
      <c r="B113" s="38" t="s">
        <v>220</v>
      </c>
      <c r="C113" s="40">
        <v>2538.3999999999996</v>
      </c>
      <c r="D113" s="40">
        <v>573.40000000000009</v>
      </c>
      <c r="E113" s="40">
        <v>-712.6</v>
      </c>
      <c r="F113" s="40">
        <v>2421.9050660870007</v>
      </c>
      <c r="G113" s="40">
        <v>518.97965701864302</v>
      </c>
      <c r="H113" s="40">
        <v>518.97965701864302</v>
      </c>
    </row>
    <row r="114" spans="1:8">
      <c r="A114" s="38" t="s">
        <v>79</v>
      </c>
      <c r="B114" s="38" t="s">
        <v>220</v>
      </c>
      <c r="C114" s="40">
        <v>1923.1</v>
      </c>
      <c r="D114" s="40">
        <v>598.29999999999995</v>
      </c>
      <c r="E114" s="40">
        <v>843.99999999999989</v>
      </c>
      <c r="F114" s="40">
        <v>2306.8980831688241</v>
      </c>
      <c r="G114" s="40">
        <v>494.33530353617664</v>
      </c>
      <c r="H114" s="40">
        <v>494.33530353617664</v>
      </c>
    </row>
    <row r="115" spans="1:8">
      <c r="A115" s="38" t="s">
        <v>84</v>
      </c>
      <c r="B115" s="38" t="s">
        <v>220</v>
      </c>
      <c r="C115" s="40">
        <v>2091.3000000000002</v>
      </c>
      <c r="D115" s="40">
        <v>618.20000000000005</v>
      </c>
      <c r="E115" s="40">
        <v>683.90000000000009</v>
      </c>
      <c r="F115" s="40">
        <v>2467.0869107247249</v>
      </c>
      <c r="G115" s="40">
        <v>528.6614808695839</v>
      </c>
      <c r="H115" s="40">
        <v>528.6614808695839</v>
      </c>
    </row>
    <row r="116" spans="1:8">
      <c r="A116" s="38" t="s">
        <v>85</v>
      </c>
      <c r="B116" s="38" t="s">
        <v>220</v>
      </c>
      <c r="C116" s="40">
        <v>2135</v>
      </c>
      <c r="D116" s="40">
        <v>625.4</v>
      </c>
      <c r="E116" s="40">
        <v>723.50000000000011</v>
      </c>
      <c r="F116" s="40">
        <v>2836.026581117389</v>
      </c>
      <c r="G116" s="40">
        <v>607.71998166801188</v>
      </c>
      <c r="H116" s="40">
        <v>607.71998166801188</v>
      </c>
    </row>
    <row r="117" spans="1:8">
      <c r="A117" s="38" t="s">
        <v>83</v>
      </c>
      <c r="B117" s="38" t="s">
        <v>220</v>
      </c>
      <c r="C117" s="40">
        <v>2074.6000000000004</v>
      </c>
      <c r="D117" s="40">
        <v>633.09999999999991</v>
      </c>
      <c r="E117" s="40">
        <v>896.6</v>
      </c>
      <c r="F117" s="40">
        <v>2749.0795417052104</v>
      </c>
      <c r="G117" s="40">
        <v>589.08847322254508</v>
      </c>
      <c r="H117" s="40">
        <v>589.08847322254508</v>
      </c>
    </row>
    <row r="118" spans="1:8">
      <c r="A118" s="38" t="s">
        <v>87</v>
      </c>
      <c r="B118" s="38" t="s">
        <v>220</v>
      </c>
      <c r="C118" s="40">
        <v>2035</v>
      </c>
      <c r="D118" s="40">
        <v>627</v>
      </c>
      <c r="E118" s="40">
        <v>772</v>
      </c>
      <c r="F118" s="40">
        <v>2550.5512837939527</v>
      </c>
      <c r="G118" s="40">
        <v>546.54670367013273</v>
      </c>
      <c r="H118" s="40">
        <v>546.54670367013273</v>
      </c>
    </row>
    <row r="119" spans="1:8">
      <c r="A119" s="38" t="s">
        <v>91</v>
      </c>
      <c r="B119" s="38" t="s">
        <v>220</v>
      </c>
      <c r="C119" s="40">
        <v>2074</v>
      </c>
      <c r="D119" s="40">
        <v>629</v>
      </c>
      <c r="E119" s="40">
        <v>867</v>
      </c>
      <c r="F119" s="40">
        <v>2651.9007171928165</v>
      </c>
      <c r="G119" s="40">
        <v>568.26443939846069</v>
      </c>
      <c r="H119" s="40">
        <v>568.26443939846069</v>
      </c>
    </row>
    <row r="120" spans="1:8">
      <c r="A120" s="38" t="s">
        <v>92</v>
      </c>
      <c r="B120" s="38" t="s">
        <v>220</v>
      </c>
      <c r="C120" s="40">
        <v>2248</v>
      </c>
      <c r="D120" s="40">
        <v>646</v>
      </c>
      <c r="E120" s="40">
        <v>790</v>
      </c>
      <c r="F120" s="40">
        <v>2853.3545166355161</v>
      </c>
      <c r="G120" s="40">
        <v>611.43311070761058</v>
      </c>
      <c r="H120" s="40">
        <v>611.43311070761058</v>
      </c>
    </row>
    <row r="121" spans="1:8">
      <c r="A121" s="38" t="s">
        <v>93</v>
      </c>
      <c r="B121" s="38" t="s">
        <v>220</v>
      </c>
      <c r="C121" s="40">
        <v>1977</v>
      </c>
      <c r="D121" s="40">
        <v>634</v>
      </c>
      <c r="E121" s="40">
        <v>908</v>
      </c>
      <c r="F121" s="40">
        <v>2793.2912591584973</v>
      </c>
      <c r="G121" s="40">
        <v>598.56241267682083</v>
      </c>
      <c r="H121" s="40">
        <v>598.56241267682083</v>
      </c>
    </row>
    <row r="122" spans="1:8">
      <c r="A122" s="38" t="s">
        <v>18</v>
      </c>
      <c r="B122" s="38" t="s">
        <v>221</v>
      </c>
      <c r="C122" s="40">
        <v>692.19999999999982</v>
      </c>
      <c r="D122" s="40">
        <v>1467.7</v>
      </c>
      <c r="E122" s="40">
        <v>-485.7999999999999</v>
      </c>
      <c r="F122" s="40">
        <v>380.80500000000006</v>
      </c>
      <c r="G122" s="40">
        <v>1523.2200000000003</v>
      </c>
      <c r="H122" s="40">
        <v>-380.80500000000006</v>
      </c>
    </row>
    <row r="123" spans="1:8">
      <c r="A123" s="38" t="s">
        <v>19</v>
      </c>
      <c r="B123" s="38" t="s">
        <v>221</v>
      </c>
      <c r="C123" s="40">
        <v>798.59999999999991</v>
      </c>
      <c r="D123" s="40">
        <v>1597.8</v>
      </c>
      <c r="E123" s="40">
        <v>-551.09999999999991</v>
      </c>
      <c r="F123" s="40">
        <v>450.14469294634978</v>
      </c>
      <c r="G123" s="40">
        <v>1800.5787717853991</v>
      </c>
      <c r="H123" s="40">
        <v>-450.14469294634978</v>
      </c>
    </row>
    <row r="124" spans="1:8">
      <c r="A124" s="38" t="s">
        <v>20</v>
      </c>
      <c r="B124" s="38" t="s">
        <v>221</v>
      </c>
      <c r="C124" s="40">
        <v>892.60000000000036</v>
      </c>
      <c r="D124" s="40">
        <v>1713.9</v>
      </c>
      <c r="E124" s="40">
        <v>-510</v>
      </c>
      <c r="F124" s="40">
        <v>479.27614305290876</v>
      </c>
      <c r="G124" s="40">
        <v>1917.1045722116351</v>
      </c>
      <c r="H124" s="40">
        <v>-479.27614305290876</v>
      </c>
    </row>
    <row r="125" spans="1:8">
      <c r="A125" s="38" t="s">
        <v>21</v>
      </c>
      <c r="B125" s="38" t="s">
        <v>221</v>
      </c>
      <c r="C125" s="40">
        <v>790.39999999999964</v>
      </c>
      <c r="D125" s="40">
        <v>1684.1000000000006</v>
      </c>
      <c r="E125" s="40">
        <v>-617.30000000000041</v>
      </c>
      <c r="F125" s="40">
        <v>469.67574822887104</v>
      </c>
      <c r="G125" s="40">
        <v>1878.7029929154842</v>
      </c>
      <c r="H125" s="40">
        <v>-469.67574822887104</v>
      </c>
    </row>
    <row r="126" spans="1:8">
      <c r="A126" s="38" t="s">
        <v>22</v>
      </c>
      <c r="B126" s="38" t="s">
        <v>221</v>
      </c>
      <c r="C126" s="40">
        <v>736</v>
      </c>
      <c r="D126" s="40">
        <v>1604.6000000000001</v>
      </c>
      <c r="E126" s="40">
        <v>-514.70000000000005</v>
      </c>
      <c r="F126" s="40">
        <v>405.0541755136901</v>
      </c>
      <c r="G126" s="40">
        <v>1620.2167020547604</v>
      </c>
      <c r="H126" s="40">
        <v>-405.0541755136901</v>
      </c>
    </row>
    <row r="127" spans="1:8">
      <c r="A127" s="38" t="s">
        <v>23</v>
      </c>
      <c r="B127" s="38" t="s">
        <v>221</v>
      </c>
      <c r="C127" s="40">
        <v>890.59999999999945</v>
      </c>
      <c r="D127" s="40">
        <v>1835</v>
      </c>
      <c r="E127" s="40">
        <v>-536.5</v>
      </c>
      <c r="F127" s="40">
        <v>475.92892391406099</v>
      </c>
      <c r="G127" s="40">
        <v>1903.715695656244</v>
      </c>
      <c r="H127" s="40">
        <v>-475.92892391406099</v>
      </c>
    </row>
    <row r="128" spans="1:8">
      <c r="A128" s="38" t="s">
        <v>24</v>
      </c>
      <c r="B128" s="38" t="s">
        <v>221</v>
      </c>
      <c r="C128" s="40">
        <v>972.19999999999982</v>
      </c>
      <c r="D128" s="40">
        <v>1934.6000000000001</v>
      </c>
      <c r="E128" s="40">
        <v>-512.09999999999991</v>
      </c>
      <c r="F128" s="40">
        <v>536.08436257620997</v>
      </c>
      <c r="G128" s="40">
        <v>2144.3374503048399</v>
      </c>
      <c r="H128" s="40">
        <v>-536.08436257620997</v>
      </c>
    </row>
    <row r="129" spans="1:8">
      <c r="A129" s="38" t="s">
        <v>25</v>
      </c>
      <c r="B129" s="38" t="s">
        <v>221</v>
      </c>
      <c r="C129" s="40">
        <v>856.10000000000036</v>
      </c>
      <c r="D129" s="40">
        <v>1857.5000000000009</v>
      </c>
      <c r="E129" s="40">
        <v>-593.5999999999998</v>
      </c>
      <c r="F129" s="40">
        <v>531.00369189694266</v>
      </c>
      <c r="G129" s="40">
        <v>2124.0147675877706</v>
      </c>
      <c r="H129" s="40">
        <v>-531.00369189694266</v>
      </c>
    </row>
    <row r="130" spans="1:8">
      <c r="A130" s="38" t="s">
        <v>26</v>
      </c>
      <c r="B130" s="38" t="s">
        <v>221</v>
      </c>
      <c r="C130" s="40">
        <v>777.79999999999973</v>
      </c>
      <c r="D130" s="40">
        <v>1739.7</v>
      </c>
      <c r="E130" s="40">
        <v>-552.9</v>
      </c>
      <c r="F130" s="40">
        <v>461.489410750243</v>
      </c>
      <c r="G130" s="40">
        <v>1845.957643000972</v>
      </c>
      <c r="H130" s="40">
        <v>-461.489410750243</v>
      </c>
    </row>
    <row r="131" spans="1:8">
      <c r="A131" s="38" t="s">
        <v>27</v>
      </c>
      <c r="B131" s="38" t="s">
        <v>221</v>
      </c>
      <c r="C131" s="40">
        <v>849.69999999999982</v>
      </c>
      <c r="D131" s="40">
        <v>1866.2</v>
      </c>
      <c r="E131" s="40">
        <v>-560.9</v>
      </c>
      <c r="F131" s="40">
        <v>518.05771344182608</v>
      </c>
      <c r="G131" s="40">
        <v>2072.2308537673043</v>
      </c>
      <c r="H131" s="40">
        <v>-518.05771344182608</v>
      </c>
    </row>
    <row r="132" spans="1:8">
      <c r="A132" s="38" t="s">
        <v>28</v>
      </c>
      <c r="B132" s="38" t="s">
        <v>221</v>
      </c>
      <c r="C132" s="40">
        <v>923.99999999999955</v>
      </c>
      <c r="D132" s="40">
        <v>1930.6</v>
      </c>
      <c r="E132" s="40">
        <v>-567.4</v>
      </c>
      <c r="F132" s="40">
        <v>546.0123108353514</v>
      </c>
      <c r="G132" s="40">
        <v>2184.0492433414056</v>
      </c>
      <c r="H132" s="40">
        <v>-546.0123108353514</v>
      </c>
    </row>
    <row r="133" spans="1:8">
      <c r="A133" s="38" t="s">
        <v>29</v>
      </c>
      <c r="B133" s="38" t="s">
        <v>221</v>
      </c>
      <c r="C133" s="40">
        <v>827.29999999999654</v>
      </c>
      <c r="D133" s="40">
        <v>1900.9999999999998</v>
      </c>
      <c r="E133" s="40">
        <v>-530.5</v>
      </c>
      <c r="F133" s="40">
        <v>530.17627492314796</v>
      </c>
      <c r="G133" s="40">
        <v>2120.7050996925918</v>
      </c>
      <c r="H133" s="40">
        <v>-530.17627492314796</v>
      </c>
    </row>
    <row r="134" spans="1:8">
      <c r="A134" s="38" t="s">
        <v>30</v>
      </c>
      <c r="B134" s="38" t="s">
        <v>221</v>
      </c>
      <c r="C134" s="40">
        <v>719.39999999999964</v>
      </c>
      <c r="D134" s="40">
        <v>1764.7</v>
      </c>
      <c r="E134" s="40">
        <v>-534.6</v>
      </c>
      <c r="F134" s="40">
        <v>475.42612100493329</v>
      </c>
      <c r="G134" s="40">
        <v>1901.7044840197332</v>
      </c>
      <c r="H134" s="40">
        <v>-475.42612100493329</v>
      </c>
    </row>
    <row r="135" spans="1:8">
      <c r="A135" s="38" t="s">
        <v>31</v>
      </c>
      <c r="B135" s="38" t="s">
        <v>221</v>
      </c>
      <c r="C135" s="40">
        <v>841.89999999999964</v>
      </c>
      <c r="D135" s="40">
        <v>1923.3000000000002</v>
      </c>
      <c r="E135" s="40">
        <v>-567.5</v>
      </c>
      <c r="F135" s="40">
        <v>520.80944785885777</v>
      </c>
      <c r="G135" s="40">
        <v>2083.2377914354311</v>
      </c>
      <c r="H135" s="40">
        <v>-520.80944785885777</v>
      </c>
    </row>
    <row r="136" spans="1:8">
      <c r="A136" s="38" t="s">
        <v>32</v>
      </c>
      <c r="B136" s="38" t="s">
        <v>221</v>
      </c>
      <c r="C136" s="40">
        <v>918.70000000000027</v>
      </c>
      <c r="D136" s="40">
        <v>1991.9</v>
      </c>
      <c r="E136" s="40">
        <v>-493.9</v>
      </c>
      <c r="F136" s="40">
        <v>553.05807732676271</v>
      </c>
      <c r="G136" s="40">
        <v>2212.2323093070509</v>
      </c>
      <c r="H136" s="40">
        <v>-553.05807732676271</v>
      </c>
    </row>
    <row r="137" spans="1:8">
      <c r="A137" s="38" t="s">
        <v>33</v>
      </c>
      <c r="B137" s="38" t="s">
        <v>221</v>
      </c>
      <c r="C137" s="40">
        <v>815.59999999999854</v>
      </c>
      <c r="D137" s="40">
        <v>1927.1999999999994</v>
      </c>
      <c r="E137" s="40">
        <v>-542.4</v>
      </c>
      <c r="F137" s="40">
        <v>540.59515631676459</v>
      </c>
      <c r="G137" s="40">
        <v>2162.3806252670583</v>
      </c>
      <c r="H137" s="40">
        <v>-540.59515631676459</v>
      </c>
    </row>
    <row r="138" spans="1:8">
      <c r="A138" s="38" t="s">
        <v>34</v>
      </c>
      <c r="B138" s="38" t="s">
        <v>221</v>
      </c>
      <c r="C138" s="40">
        <v>723.40000000000009</v>
      </c>
      <c r="D138" s="40">
        <v>1792.7000000000003</v>
      </c>
      <c r="E138" s="40">
        <v>-580.1</v>
      </c>
      <c r="F138" s="40">
        <v>490.43878022080753</v>
      </c>
      <c r="G138" s="40">
        <v>1961.7551208832301</v>
      </c>
      <c r="H138" s="40">
        <v>-490.43878022080753</v>
      </c>
    </row>
    <row r="139" spans="1:8">
      <c r="A139" s="38" t="s">
        <v>35</v>
      </c>
      <c r="B139" s="38" t="s">
        <v>221</v>
      </c>
      <c r="C139" s="40">
        <v>816.09999999999945</v>
      </c>
      <c r="D139" s="40">
        <v>1968.2000000000003</v>
      </c>
      <c r="E139" s="40">
        <v>-595.30000000000007</v>
      </c>
      <c r="F139" s="40">
        <v>529.62846718449396</v>
      </c>
      <c r="G139" s="40">
        <v>2118.5138687379758</v>
      </c>
      <c r="H139" s="40">
        <v>-529.62846718449396</v>
      </c>
    </row>
    <row r="140" spans="1:8">
      <c r="A140" s="38" t="s">
        <v>36</v>
      </c>
      <c r="B140" s="38" t="s">
        <v>221</v>
      </c>
      <c r="C140" s="40">
        <v>721.5</v>
      </c>
      <c r="D140" s="40">
        <v>1959.7</v>
      </c>
      <c r="E140" s="40">
        <v>-608.69999999999993</v>
      </c>
      <c r="F140" s="40">
        <v>558.45594456625463</v>
      </c>
      <c r="G140" s="40">
        <v>2233.8237782650185</v>
      </c>
      <c r="H140" s="40">
        <v>-558.45594456625463</v>
      </c>
    </row>
    <row r="141" spans="1:8">
      <c r="A141" s="38" t="s">
        <v>37</v>
      </c>
      <c r="B141" s="38" t="s">
        <v>221</v>
      </c>
      <c r="C141" s="40">
        <v>619.99999999999818</v>
      </c>
      <c r="D141" s="40">
        <v>1854.1000000000001</v>
      </c>
      <c r="E141" s="40">
        <v>-722.4000000000002</v>
      </c>
      <c r="F141" s="40">
        <v>526.95183070968483</v>
      </c>
      <c r="G141" s="40">
        <v>2107.8073228387393</v>
      </c>
      <c r="H141" s="40">
        <v>-526.95183070968483</v>
      </c>
    </row>
    <row r="142" spans="1:8">
      <c r="A142" s="38" t="s">
        <v>38</v>
      </c>
      <c r="B142" s="38" t="s">
        <v>221</v>
      </c>
      <c r="C142" s="40">
        <v>559.79999999999973</v>
      </c>
      <c r="D142" s="40">
        <v>1641.1999999999998</v>
      </c>
      <c r="E142" s="40">
        <v>-815.5</v>
      </c>
      <c r="F142" s="40">
        <v>467.66807639969988</v>
      </c>
      <c r="G142" s="40">
        <v>1870.6723055987995</v>
      </c>
      <c r="H142" s="40">
        <v>-467.66807639969988</v>
      </c>
    </row>
    <row r="143" spans="1:8">
      <c r="A143" s="38" t="s">
        <v>39</v>
      </c>
      <c r="B143" s="38" t="s">
        <v>221</v>
      </c>
      <c r="C143" s="40">
        <v>664.80000000000018</v>
      </c>
      <c r="D143" s="40">
        <v>1825.6</v>
      </c>
      <c r="E143" s="40">
        <v>-641.1</v>
      </c>
      <c r="F143" s="40">
        <v>483.77156366555346</v>
      </c>
      <c r="G143" s="40">
        <v>1935.0862546622138</v>
      </c>
      <c r="H143" s="40">
        <v>-483.77156366555346</v>
      </c>
    </row>
    <row r="144" spans="1:8">
      <c r="A144" s="38" t="s">
        <v>40</v>
      </c>
      <c r="B144" s="38" t="s">
        <v>221</v>
      </c>
      <c r="C144" s="40">
        <v>675.19999999999982</v>
      </c>
      <c r="D144" s="40">
        <v>1916.1</v>
      </c>
      <c r="E144" s="40">
        <v>-561</v>
      </c>
      <c r="F144" s="40">
        <v>499.19924096034151</v>
      </c>
      <c r="G144" s="40">
        <v>1996.7969638413661</v>
      </c>
      <c r="H144" s="40">
        <v>-499.19924096034151</v>
      </c>
    </row>
    <row r="145" spans="1:8">
      <c r="A145" s="38" t="s">
        <v>41</v>
      </c>
      <c r="B145" s="38" t="s">
        <v>221</v>
      </c>
      <c r="C145" s="40">
        <v>611.59999999999673</v>
      </c>
      <c r="D145" s="40">
        <v>1894.9000000000012</v>
      </c>
      <c r="E145" s="40">
        <v>-626.10000000000036</v>
      </c>
      <c r="F145" s="40">
        <v>486.98134713664717</v>
      </c>
      <c r="G145" s="40">
        <v>1947.9253885465887</v>
      </c>
      <c r="H145" s="40">
        <v>-486.98134713664717</v>
      </c>
    </row>
    <row r="146" spans="1:8">
      <c r="A146" s="38" t="s">
        <v>42</v>
      </c>
      <c r="B146" s="38" t="s">
        <v>221</v>
      </c>
      <c r="C146" s="40">
        <v>578.19999999999982</v>
      </c>
      <c r="D146" s="40">
        <v>1735.3000000000002</v>
      </c>
      <c r="E146" s="40">
        <v>-533.20000000000005</v>
      </c>
      <c r="F146" s="40">
        <v>445.18645826821898</v>
      </c>
      <c r="G146" s="40">
        <v>1780.7458330728759</v>
      </c>
      <c r="H146" s="40">
        <v>-445.18645826821898</v>
      </c>
    </row>
    <row r="147" spans="1:8">
      <c r="A147" s="38" t="s">
        <v>43</v>
      </c>
      <c r="B147" s="38" t="s">
        <v>221</v>
      </c>
      <c r="C147" s="40">
        <v>668.5</v>
      </c>
      <c r="D147" s="40">
        <v>1917.5</v>
      </c>
      <c r="E147" s="40">
        <v>-728.1</v>
      </c>
      <c r="F147" s="40">
        <v>476.48182566350897</v>
      </c>
      <c r="G147" s="40">
        <v>1905.9273026540359</v>
      </c>
      <c r="H147" s="40">
        <v>-476.48182566350897</v>
      </c>
    </row>
    <row r="148" spans="1:8">
      <c r="A148" s="38" t="s">
        <v>44</v>
      </c>
      <c r="B148" s="38" t="s">
        <v>221</v>
      </c>
      <c r="C148" s="40">
        <v>732.59999999999991</v>
      </c>
      <c r="D148" s="40">
        <v>2014.4</v>
      </c>
      <c r="E148" s="40">
        <v>-609.69999999999993</v>
      </c>
      <c r="F148" s="40">
        <v>484.18068114975563</v>
      </c>
      <c r="G148" s="40">
        <v>1936.7227245990225</v>
      </c>
      <c r="H148" s="40">
        <v>-484.18068114975563</v>
      </c>
    </row>
    <row r="149" spans="1:8">
      <c r="A149" s="38" t="s">
        <v>45</v>
      </c>
      <c r="B149" s="38" t="s">
        <v>221</v>
      </c>
      <c r="C149" s="40">
        <v>616.89999999999964</v>
      </c>
      <c r="D149" s="40">
        <v>1941.2999999999993</v>
      </c>
      <c r="E149" s="40">
        <v>-589.20000000000005</v>
      </c>
      <c r="F149" s="40">
        <v>471.05955534176474</v>
      </c>
      <c r="G149" s="40">
        <v>1884.2382213670589</v>
      </c>
      <c r="H149" s="40">
        <v>-471.05955534176474</v>
      </c>
    </row>
    <row r="150" spans="1:8">
      <c r="A150" s="38" t="s">
        <v>46</v>
      </c>
      <c r="B150" s="38" t="s">
        <v>221</v>
      </c>
      <c r="C150" s="40">
        <v>595.5</v>
      </c>
      <c r="D150" s="40">
        <v>1833.9</v>
      </c>
      <c r="E150" s="40">
        <v>-395.4</v>
      </c>
      <c r="F150" s="40">
        <v>570.38693241754902</v>
      </c>
      <c r="G150" s="40">
        <v>2281.5477296701961</v>
      </c>
      <c r="H150" s="40">
        <v>-570.38693241754902</v>
      </c>
    </row>
    <row r="151" spans="1:8">
      <c r="A151" s="38" t="s">
        <v>47</v>
      </c>
      <c r="B151" s="38" t="s">
        <v>221</v>
      </c>
      <c r="C151" s="40">
        <v>666.29999999999973</v>
      </c>
      <c r="D151" s="40">
        <v>2042.1</v>
      </c>
      <c r="E151" s="40">
        <v>-413.29999999999995</v>
      </c>
      <c r="F151" s="40">
        <v>609.63087924633817</v>
      </c>
      <c r="G151" s="40">
        <v>2438.5235169853527</v>
      </c>
      <c r="H151" s="40">
        <v>-609.63087924633817</v>
      </c>
    </row>
    <row r="152" spans="1:8">
      <c r="A152" s="38" t="s">
        <v>48</v>
      </c>
      <c r="B152" s="38" t="s">
        <v>221</v>
      </c>
      <c r="C152" s="40">
        <v>584.5</v>
      </c>
      <c r="D152" s="40">
        <v>2233</v>
      </c>
      <c r="E152" s="40">
        <v>261.89999999999998</v>
      </c>
      <c r="F152" s="40">
        <v>622.91287487081195</v>
      </c>
      <c r="G152" s="40">
        <v>2491.6514994832478</v>
      </c>
      <c r="H152" s="40">
        <v>-622.91287487081195</v>
      </c>
    </row>
    <row r="153" spans="1:8">
      <c r="A153" s="38" t="s">
        <v>49</v>
      </c>
      <c r="B153" s="38" t="s">
        <v>221</v>
      </c>
      <c r="C153" s="40">
        <v>463</v>
      </c>
      <c r="D153" s="40">
        <v>2202.4999999999995</v>
      </c>
      <c r="E153" s="40">
        <v>-521.30000000000041</v>
      </c>
      <c r="F153" s="40">
        <v>575.98615410677996</v>
      </c>
      <c r="G153" s="40">
        <v>2303.9446164271199</v>
      </c>
      <c r="H153" s="40">
        <v>-575.98615410677996</v>
      </c>
    </row>
    <row r="154" spans="1:8">
      <c r="A154" s="38" t="s">
        <v>50</v>
      </c>
      <c r="B154" s="38" t="s">
        <v>221</v>
      </c>
      <c r="C154" s="40">
        <v>404.69999999999982</v>
      </c>
      <c r="D154" s="40">
        <v>2123</v>
      </c>
      <c r="E154" s="40">
        <v>-384.6</v>
      </c>
      <c r="F154" s="40">
        <v>516.2234047216815</v>
      </c>
      <c r="G154" s="40">
        <v>2064.893618886726</v>
      </c>
      <c r="H154" s="40">
        <v>-516.2234047216815</v>
      </c>
    </row>
    <row r="155" spans="1:8">
      <c r="A155" s="38" t="s">
        <v>51</v>
      </c>
      <c r="B155" s="38" t="s">
        <v>221</v>
      </c>
      <c r="C155" s="40">
        <v>464.40000000000009</v>
      </c>
      <c r="D155" s="40">
        <v>2275.1</v>
      </c>
      <c r="E155" s="40">
        <v>-477.20000000000005</v>
      </c>
      <c r="F155" s="40">
        <v>551.56941540669732</v>
      </c>
      <c r="G155" s="40">
        <v>2206.2776616267893</v>
      </c>
      <c r="H155" s="40">
        <v>-551.56941540669732</v>
      </c>
    </row>
    <row r="156" spans="1:8">
      <c r="A156" s="38" t="s">
        <v>52</v>
      </c>
      <c r="B156" s="38" t="s">
        <v>221</v>
      </c>
      <c r="C156" s="40">
        <v>463.09999999999991</v>
      </c>
      <c r="D156" s="40">
        <v>2359</v>
      </c>
      <c r="E156" s="40">
        <v>-404.40000000000003</v>
      </c>
      <c r="F156" s="40">
        <v>548.37676228143903</v>
      </c>
      <c r="G156" s="40">
        <v>2193.5070491257561</v>
      </c>
      <c r="H156" s="40">
        <v>-548.37676228143903</v>
      </c>
    </row>
    <row r="157" spans="1:8">
      <c r="A157" s="38" t="s">
        <v>53</v>
      </c>
      <c r="B157" s="38" t="s">
        <v>221</v>
      </c>
      <c r="C157" s="40">
        <v>414.59999999999854</v>
      </c>
      <c r="D157" s="40">
        <v>2282.0999999999995</v>
      </c>
      <c r="E157" s="40">
        <v>-697.1999999999997</v>
      </c>
      <c r="F157" s="40">
        <v>525.04237487568275</v>
      </c>
      <c r="G157" s="40">
        <v>2100.169499502731</v>
      </c>
      <c r="H157" s="40">
        <v>-525.04237487568275</v>
      </c>
    </row>
    <row r="158" spans="1:8">
      <c r="A158" s="38" t="s">
        <v>54</v>
      </c>
      <c r="B158" s="38" t="s">
        <v>221</v>
      </c>
      <c r="C158" s="40">
        <v>354.29999999999995</v>
      </c>
      <c r="D158" s="40">
        <v>2182</v>
      </c>
      <c r="E158" s="40">
        <v>-442.3</v>
      </c>
      <c r="F158" s="40">
        <v>494.05165969600864</v>
      </c>
      <c r="G158" s="40">
        <v>1976.2066387840346</v>
      </c>
      <c r="H158" s="40">
        <v>-494.05165969600864</v>
      </c>
    </row>
    <row r="159" spans="1:8">
      <c r="A159" s="38" t="s">
        <v>55</v>
      </c>
      <c r="B159" s="38" t="s">
        <v>221</v>
      </c>
      <c r="C159" s="40">
        <v>433.30000000000018</v>
      </c>
      <c r="D159" s="40">
        <v>2396.1999999999998</v>
      </c>
      <c r="E159" s="40">
        <v>-555.6</v>
      </c>
      <c r="F159" s="40">
        <v>527.65129781484393</v>
      </c>
      <c r="G159" s="40">
        <v>2110.6051912593757</v>
      </c>
      <c r="H159" s="40">
        <v>-527.65129781484393</v>
      </c>
    </row>
    <row r="160" spans="1:8">
      <c r="A160" s="38" t="s">
        <v>56</v>
      </c>
      <c r="B160" s="38" t="s">
        <v>221</v>
      </c>
      <c r="C160" s="40">
        <v>448.89999999999986</v>
      </c>
      <c r="D160" s="40">
        <v>2454.5</v>
      </c>
      <c r="E160" s="40">
        <v>-494.1</v>
      </c>
      <c r="F160" s="40">
        <v>538.82489067020515</v>
      </c>
      <c r="G160" s="40">
        <v>2155.2995626808206</v>
      </c>
      <c r="H160" s="40">
        <v>-538.82489067020515</v>
      </c>
    </row>
    <row r="161" spans="1:8">
      <c r="A161" s="38" t="s">
        <v>57</v>
      </c>
      <c r="B161" s="38" t="s">
        <v>221</v>
      </c>
      <c r="C161" s="40">
        <v>423.69999999999891</v>
      </c>
      <c r="D161" s="40">
        <v>2422.400000000001</v>
      </c>
      <c r="E161" s="40">
        <v>-553.49999999999989</v>
      </c>
      <c r="F161" s="40">
        <v>525.32191945463501</v>
      </c>
      <c r="G161" s="40">
        <v>2101.28767781854</v>
      </c>
      <c r="H161" s="40">
        <v>-525.32191945463501</v>
      </c>
    </row>
    <row r="162" spans="1:8">
      <c r="A162" s="38" t="s">
        <v>59</v>
      </c>
      <c r="B162" s="38" t="s">
        <v>221</v>
      </c>
      <c r="C162" s="40">
        <v>273</v>
      </c>
      <c r="D162" s="40">
        <v>2053.8000000000002</v>
      </c>
      <c r="E162" s="40">
        <v>-633.19999999999993</v>
      </c>
      <c r="F162" s="40">
        <v>506.70976241512994</v>
      </c>
      <c r="G162" s="40">
        <v>2026.8390496605198</v>
      </c>
      <c r="H162" s="40">
        <v>-506.70976241512994</v>
      </c>
    </row>
    <row r="163" spans="1:8">
      <c r="A163" s="38" t="s">
        <v>60</v>
      </c>
      <c r="B163" s="38" t="s">
        <v>221</v>
      </c>
      <c r="C163" s="40">
        <v>145.29999999999995</v>
      </c>
      <c r="D163" s="40">
        <v>1563.5</v>
      </c>
      <c r="E163" s="40">
        <v>-747.7</v>
      </c>
      <c r="F163" s="40">
        <v>518.59601100607949</v>
      </c>
      <c r="G163" s="40">
        <v>2074.384044024318</v>
      </c>
      <c r="H163" s="40">
        <v>-518.59601100607949</v>
      </c>
    </row>
    <row r="164" spans="1:8">
      <c r="A164" s="38" t="s">
        <v>61</v>
      </c>
      <c r="B164" s="38" t="s">
        <v>221</v>
      </c>
      <c r="C164" s="40">
        <v>410.10000000000014</v>
      </c>
      <c r="D164" s="40">
        <v>2476.9</v>
      </c>
      <c r="E164" s="40">
        <v>-360.6</v>
      </c>
      <c r="F164" s="40">
        <v>438.88362988011374</v>
      </c>
      <c r="G164" s="40">
        <v>1755.534519520455</v>
      </c>
      <c r="H164" s="40">
        <v>-438.88362988011374</v>
      </c>
    </row>
    <row r="165" spans="1:8">
      <c r="A165" s="38" t="s">
        <v>62</v>
      </c>
      <c r="B165" s="38" t="s">
        <v>221</v>
      </c>
      <c r="C165" s="40">
        <v>329.60000000000036</v>
      </c>
      <c r="D165" s="40">
        <v>2423.7999999999997</v>
      </c>
      <c r="E165" s="40">
        <v>-610.5</v>
      </c>
      <c r="F165" s="40">
        <v>486.64764655240867</v>
      </c>
      <c r="G165" s="40">
        <v>1946.5905862096347</v>
      </c>
      <c r="H165" s="40">
        <v>-486.64764655240867</v>
      </c>
    </row>
    <row r="166" spans="1:8">
      <c r="A166" s="38" t="s">
        <v>63</v>
      </c>
      <c r="B166" s="38" t="s">
        <v>221</v>
      </c>
      <c r="C166" s="40">
        <v>343.90000000000009</v>
      </c>
      <c r="D166" s="40">
        <v>2305.9</v>
      </c>
      <c r="E166" s="40">
        <v>-368.50000000000006</v>
      </c>
      <c r="F166" s="40">
        <v>481.24770344506612</v>
      </c>
      <c r="G166" s="40">
        <v>1924.9908137802645</v>
      </c>
      <c r="H166" s="40">
        <v>-481.24770344506612</v>
      </c>
    </row>
    <row r="167" spans="1:8">
      <c r="A167" s="38" t="s">
        <v>68</v>
      </c>
      <c r="B167" s="38" t="s">
        <v>221</v>
      </c>
      <c r="C167" s="40">
        <v>467.69999999999982</v>
      </c>
      <c r="D167" s="40">
        <v>2727.1</v>
      </c>
      <c r="E167" s="40">
        <v>-503.69999999999993</v>
      </c>
      <c r="F167" s="40">
        <v>506.79050439739956</v>
      </c>
      <c r="G167" s="40">
        <v>2027.1620175895982</v>
      </c>
      <c r="H167" s="40">
        <v>-506.79050439739956</v>
      </c>
    </row>
    <row r="168" spans="1:8">
      <c r="A168" s="38" t="s">
        <v>69</v>
      </c>
      <c r="B168" s="38" t="s">
        <v>221</v>
      </c>
      <c r="C168" s="40">
        <v>490</v>
      </c>
      <c r="D168" s="40">
        <v>2917.6</v>
      </c>
      <c r="E168" s="40">
        <v>-421.09999999999997</v>
      </c>
      <c r="F168" s="40">
        <v>625.90702263228752</v>
      </c>
      <c r="G168" s="40">
        <v>2503.6280905291501</v>
      </c>
      <c r="H168" s="40">
        <v>-625.90702263228752</v>
      </c>
    </row>
    <row r="169" spans="1:8">
      <c r="A169" s="38" t="s">
        <v>67</v>
      </c>
      <c r="B169" s="38" t="s">
        <v>221</v>
      </c>
      <c r="C169" s="40">
        <v>438.39999999999964</v>
      </c>
      <c r="D169" s="40">
        <v>2799.4000000000005</v>
      </c>
      <c r="E169" s="40">
        <v>-840.69999999999993</v>
      </c>
      <c r="F169" s="40">
        <v>591.73243449800918</v>
      </c>
      <c r="G169" s="40">
        <v>2366.9297379920367</v>
      </c>
      <c r="H169" s="40">
        <v>-591.73243449800918</v>
      </c>
    </row>
    <row r="170" spans="1:8">
      <c r="A170" s="38" t="s">
        <v>71</v>
      </c>
      <c r="B170" s="38" t="s">
        <v>221</v>
      </c>
      <c r="C170" s="40">
        <v>343.20000000000005</v>
      </c>
      <c r="D170" s="40">
        <v>2678.8</v>
      </c>
      <c r="E170" s="40">
        <v>-709.4</v>
      </c>
      <c r="F170" s="40">
        <v>557.12389415007908</v>
      </c>
      <c r="G170" s="40">
        <v>2228.4955766003163</v>
      </c>
      <c r="H170" s="40">
        <v>-557.12389415007908</v>
      </c>
    </row>
    <row r="171" spans="1:8">
      <c r="A171" s="38" t="s">
        <v>75</v>
      </c>
      <c r="B171" s="38" t="s">
        <v>221</v>
      </c>
      <c r="C171" s="40">
        <v>343.00000000000023</v>
      </c>
      <c r="D171" s="40">
        <v>2938.2000000000003</v>
      </c>
      <c r="E171" s="40">
        <v>-1569.4</v>
      </c>
      <c r="F171" s="40">
        <v>579.86669460533778</v>
      </c>
      <c r="G171" s="40">
        <v>2319.4667784213511</v>
      </c>
      <c r="H171" s="40">
        <v>-579.86669460533778</v>
      </c>
    </row>
    <row r="172" spans="1:8">
      <c r="A172" s="38" t="s">
        <v>76</v>
      </c>
      <c r="B172" s="38" t="s">
        <v>221</v>
      </c>
      <c r="C172" s="40">
        <v>345.20000000000027</v>
      </c>
      <c r="D172" s="40">
        <v>3082.2</v>
      </c>
      <c r="E172" s="40">
        <v>-663.49999999999989</v>
      </c>
      <c r="F172" s="40">
        <v>628.20368019894386</v>
      </c>
      <c r="G172" s="40">
        <v>2512.8147207957754</v>
      </c>
      <c r="H172" s="40">
        <v>-628.20368019894386</v>
      </c>
    </row>
    <row r="173" spans="1:8">
      <c r="A173" s="38" t="s">
        <v>77</v>
      </c>
      <c r="B173" s="38" t="s">
        <v>221</v>
      </c>
      <c r="C173" s="40">
        <v>708.59999999999945</v>
      </c>
      <c r="D173" s="40">
        <v>2050.8000000000006</v>
      </c>
      <c r="E173" s="40">
        <v>808.30000000000007</v>
      </c>
      <c r="F173" s="40">
        <v>576.64406335404783</v>
      </c>
      <c r="G173" s="40">
        <v>2306.5762534161913</v>
      </c>
      <c r="H173" s="40">
        <v>-576.64406335404783</v>
      </c>
    </row>
    <row r="174" spans="1:8">
      <c r="A174" s="38" t="s">
        <v>79</v>
      </c>
      <c r="B174" s="38" t="s">
        <v>221</v>
      </c>
      <c r="C174" s="40">
        <v>301.20000000000027</v>
      </c>
      <c r="D174" s="40">
        <v>2989.2</v>
      </c>
      <c r="E174" s="40">
        <v>-757.99999999999989</v>
      </c>
      <c r="F174" s="40">
        <v>549.26144837352956</v>
      </c>
      <c r="G174" s="40">
        <v>2197.0457934941182</v>
      </c>
      <c r="H174" s="40">
        <v>-549.26144837352956</v>
      </c>
    </row>
    <row r="175" spans="1:8">
      <c r="A175" s="38" t="s">
        <v>84</v>
      </c>
      <c r="B175" s="38" t="s">
        <v>221</v>
      </c>
      <c r="C175" s="40">
        <v>395.69999999999982</v>
      </c>
      <c r="D175" s="40">
        <v>3315.1000000000004</v>
      </c>
      <c r="E175" s="40">
        <v>-606.70000000000005</v>
      </c>
      <c r="F175" s="40">
        <v>587.40164541064894</v>
      </c>
      <c r="G175" s="40">
        <v>2349.6065816425958</v>
      </c>
      <c r="H175" s="40">
        <v>-587.40164541064894</v>
      </c>
    </row>
    <row r="176" spans="1:8">
      <c r="A176" s="38" t="s">
        <v>85</v>
      </c>
      <c r="B176" s="38" t="s">
        <v>221</v>
      </c>
      <c r="C176" s="40">
        <v>421.19999999999982</v>
      </c>
      <c r="D176" s="40">
        <v>3421.7</v>
      </c>
      <c r="E176" s="40">
        <v>-634.60000000000014</v>
      </c>
      <c r="F176" s="40">
        <v>675.24442407556899</v>
      </c>
      <c r="G176" s="40">
        <v>2700.9776963022759</v>
      </c>
      <c r="H176" s="40">
        <v>-675.24442407556899</v>
      </c>
    </row>
    <row r="177" spans="1:8">
      <c r="A177" s="38" t="s">
        <v>83</v>
      </c>
      <c r="B177" s="38" t="s">
        <v>221</v>
      </c>
      <c r="C177" s="40">
        <v>399.89999999999964</v>
      </c>
      <c r="D177" s="40">
        <v>3235.0000000000005</v>
      </c>
      <c r="E177" s="40">
        <v>-832.7</v>
      </c>
      <c r="F177" s="40">
        <v>654.54274802505017</v>
      </c>
      <c r="G177" s="40">
        <v>2618.1709921002007</v>
      </c>
      <c r="H177" s="40">
        <v>-654.54274802505017</v>
      </c>
    </row>
    <row r="178" spans="1:8">
      <c r="A178" s="38" t="s">
        <v>87</v>
      </c>
      <c r="B178" s="38" t="s">
        <v>221</v>
      </c>
      <c r="C178" s="40">
        <v>320</v>
      </c>
      <c r="D178" s="40">
        <v>3096</v>
      </c>
      <c r="E178" s="40">
        <v>-681</v>
      </c>
      <c r="F178" s="40">
        <v>607.27411518903648</v>
      </c>
      <c r="G178" s="40">
        <v>2429.0964607561459</v>
      </c>
      <c r="H178" s="40">
        <v>-607.27411518903648</v>
      </c>
    </row>
    <row r="179" spans="1:8">
      <c r="A179" s="38" t="s">
        <v>91</v>
      </c>
      <c r="B179" s="38" t="s">
        <v>221</v>
      </c>
      <c r="C179" s="40">
        <v>387</v>
      </c>
      <c r="D179" s="40">
        <v>3311</v>
      </c>
      <c r="E179" s="40">
        <v>-778</v>
      </c>
      <c r="F179" s="40">
        <v>631.4049326649565</v>
      </c>
      <c r="G179" s="40">
        <v>2525.619730659826</v>
      </c>
      <c r="H179" s="40">
        <v>-631.4049326649565</v>
      </c>
    </row>
    <row r="180" spans="1:8">
      <c r="A180" s="38" t="s">
        <v>92</v>
      </c>
      <c r="B180" s="38" t="s">
        <v>221</v>
      </c>
      <c r="C180" s="40">
        <v>408</v>
      </c>
      <c r="D180" s="40">
        <v>3448</v>
      </c>
      <c r="E180" s="40">
        <v>-666</v>
      </c>
      <c r="F180" s="40">
        <v>679.37012300845629</v>
      </c>
      <c r="G180" s="40">
        <v>2717.4804920338252</v>
      </c>
      <c r="H180" s="40">
        <v>-679.37012300845629</v>
      </c>
    </row>
    <row r="181" spans="1:8">
      <c r="A181" s="38" t="s">
        <v>93</v>
      </c>
      <c r="B181" s="38" t="s">
        <v>221</v>
      </c>
      <c r="C181" s="40">
        <v>333</v>
      </c>
      <c r="D181" s="40">
        <v>3324</v>
      </c>
      <c r="E181" s="40">
        <v>-789</v>
      </c>
      <c r="F181" s="40">
        <v>665.06934741868997</v>
      </c>
      <c r="G181" s="40">
        <v>2660.2773896747599</v>
      </c>
      <c r="H181" s="40">
        <v>-665.06934741868997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734B2-C524-48AD-B9BA-DD3DF97954CC}">
  <dimension ref="A1:C65"/>
  <sheetViews>
    <sheetView workbookViewId="0">
      <selection activeCell="D4" sqref="D4"/>
    </sheetView>
  </sheetViews>
  <sheetFormatPr defaultRowHeight="14"/>
  <cols>
    <col min="2" max="2" width="14" customWidth="1"/>
  </cols>
  <sheetData>
    <row r="1" spans="1:3" ht="28">
      <c r="A1" s="54" t="s">
        <v>182</v>
      </c>
      <c r="B1" s="52" t="s">
        <v>205</v>
      </c>
      <c r="C1" s="52" t="s">
        <v>204</v>
      </c>
    </row>
    <row r="2" spans="1:3">
      <c r="A2" s="42" t="s">
        <v>95</v>
      </c>
      <c r="B2" s="60">
        <v>5610.1</v>
      </c>
      <c r="C2" s="60">
        <v>5077.3999999999996</v>
      </c>
    </row>
    <row r="3" spans="1:3">
      <c r="A3" s="42" t="s">
        <v>96</v>
      </c>
      <c r="B3" s="60">
        <v>5945.5</v>
      </c>
      <c r="C3" s="60">
        <v>6001.9292392846637</v>
      </c>
    </row>
    <row r="4" spans="1:3">
      <c r="A4" s="42" t="s">
        <v>97</v>
      </c>
      <c r="B4" s="60">
        <v>6304.9</v>
      </c>
      <c r="C4" s="60">
        <v>6390.3485740387823</v>
      </c>
    </row>
    <row r="5" spans="1:3">
      <c r="A5" s="42" t="s">
        <v>98</v>
      </c>
      <c r="B5" s="60">
        <v>6214.0999999999985</v>
      </c>
      <c r="C5" s="60">
        <v>6262.3433097182806</v>
      </c>
    </row>
    <row r="6" spans="1:3">
      <c r="A6" s="42" t="s">
        <v>99</v>
      </c>
      <c r="B6" s="60">
        <v>6111.6</v>
      </c>
      <c r="C6" s="60">
        <v>5400.7223401825331</v>
      </c>
    </row>
    <row r="7" spans="1:3">
      <c r="A7" s="42" t="s">
        <v>100</v>
      </c>
      <c r="B7" s="60">
        <v>6905.4</v>
      </c>
      <c r="C7" s="60">
        <v>6345.7189855208126</v>
      </c>
    </row>
    <row r="8" spans="1:3">
      <c r="A8" s="42" t="s">
        <v>101</v>
      </c>
      <c r="B8" s="60">
        <v>7166.3</v>
      </c>
      <c r="C8" s="60">
        <v>7147.7915010161332</v>
      </c>
    </row>
    <row r="9" spans="1:3">
      <c r="A9" s="42" t="s">
        <v>102</v>
      </c>
      <c r="B9" s="60">
        <v>6822.7000000000007</v>
      </c>
      <c r="C9" s="60">
        <v>7080.0492252925669</v>
      </c>
    </row>
    <row r="10" spans="1:3">
      <c r="A10" s="42" t="s">
        <v>103</v>
      </c>
      <c r="B10" s="60">
        <v>6546.6</v>
      </c>
      <c r="C10" s="60">
        <v>6153.1921433365733</v>
      </c>
    </row>
    <row r="11" spans="1:3">
      <c r="A11" s="42" t="s">
        <v>104</v>
      </c>
      <c r="B11" s="60">
        <v>6915.9</v>
      </c>
      <c r="C11" s="60">
        <v>6907.4361792243471</v>
      </c>
    </row>
    <row r="12" spans="1:3">
      <c r="A12" s="42" t="s">
        <v>105</v>
      </c>
      <c r="B12" s="60">
        <v>7152.4</v>
      </c>
      <c r="C12" s="60">
        <v>7280.1641444713505</v>
      </c>
    </row>
    <row r="13" spans="1:3">
      <c r="A13" s="42" t="s">
        <v>106</v>
      </c>
      <c r="B13" s="60">
        <v>6952.0999999999985</v>
      </c>
      <c r="C13" s="60">
        <v>7069.0169989753058</v>
      </c>
    </row>
    <row r="14" spans="1:3">
      <c r="A14" s="42" t="s">
        <v>107</v>
      </c>
      <c r="B14" s="60">
        <v>6605.3</v>
      </c>
      <c r="C14" s="60">
        <v>6339.0149467324436</v>
      </c>
    </row>
    <row r="15" spans="1:3">
      <c r="A15" s="42" t="s">
        <v>108</v>
      </c>
      <c r="B15" s="60">
        <v>7083.8</v>
      </c>
      <c r="C15" s="60">
        <v>6944.1259714514354</v>
      </c>
    </row>
    <row r="16" spans="1:3">
      <c r="A16" s="42" t="s">
        <v>109</v>
      </c>
      <c r="B16" s="60">
        <v>7323.4</v>
      </c>
      <c r="C16" s="60">
        <v>7374.1076976901677</v>
      </c>
    </row>
    <row r="17" spans="1:3">
      <c r="A17" s="42" t="s">
        <v>110</v>
      </c>
      <c r="B17" s="60">
        <v>7093.2000000000007</v>
      </c>
      <c r="C17" s="60">
        <v>7207.9354175568596</v>
      </c>
    </row>
    <row r="18" spans="1:3">
      <c r="A18" s="42" t="s">
        <v>111</v>
      </c>
      <c r="B18" s="60">
        <v>6700.3</v>
      </c>
      <c r="C18" s="60">
        <v>6539.1837362774313</v>
      </c>
    </row>
    <row r="19" spans="1:3">
      <c r="A19" s="42" t="s">
        <v>112</v>
      </c>
      <c r="B19" s="60">
        <v>7181.7</v>
      </c>
      <c r="C19" s="60">
        <v>7061.7128957932528</v>
      </c>
    </row>
    <row r="20" spans="1:3">
      <c r="A20" s="42" t="s">
        <v>113</v>
      </c>
      <c r="B20" s="60">
        <v>6987.1</v>
      </c>
      <c r="C20" s="60">
        <v>7446.0792608833926</v>
      </c>
    </row>
    <row r="21" spans="1:3">
      <c r="A21" s="42" t="s">
        <v>114</v>
      </c>
      <c r="B21" s="60">
        <v>6572.2000000000007</v>
      </c>
      <c r="C21" s="60">
        <v>7026.0244094624641</v>
      </c>
    </row>
    <row r="22" spans="1:3">
      <c r="A22" s="42" t="s">
        <v>115</v>
      </c>
      <c r="B22" s="60">
        <v>5958.9</v>
      </c>
      <c r="C22" s="60">
        <v>6235.5743519959988</v>
      </c>
    </row>
    <row r="23" spans="1:3">
      <c r="A23" s="42" t="s">
        <v>116</v>
      </c>
      <c r="B23" s="60">
        <v>6497.7</v>
      </c>
      <c r="C23" s="60">
        <v>6450.2875155407119</v>
      </c>
    </row>
    <row r="24" spans="1:3">
      <c r="A24" s="42" t="s">
        <v>117</v>
      </c>
      <c r="B24" s="60">
        <v>6615.1</v>
      </c>
      <c r="C24" s="60">
        <v>6655.989879471218</v>
      </c>
    </row>
    <row r="25" spans="1:3">
      <c r="A25" s="42" t="s">
        <v>118</v>
      </c>
      <c r="B25" s="60">
        <v>6341.3000000000029</v>
      </c>
      <c r="C25" s="60">
        <v>6493.0846284886275</v>
      </c>
    </row>
    <row r="26" spans="1:3">
      <c r="A26" s="42" t="s">
        <v>119</v>
      </c>
      <c r="B26" s="60">
        <v>5903.9</v>
      </c>
      <c r="C26" s="60">
        <v>5935.8194435762525</v>
      </c>
    </row>
    <row r="27" spans="1:3">
      <c r="A27" s="42" t="s">
        <v>120</v>
      </c>
      <c r="B27" s="60">
        <v>6265</v>
      </c>
      <c r="C27" s="60">
        <v>6353.0910088467845</v>
      </c>
    </row>
    <row r="28" spans="1:3">
      <c r="A28" s="42" t="s">
        <v>121</v>
      </c>
      <c r="B28" s="60">
        <v>6424.1</v>
      </c>
      <c r="C28" s="60">
        <v>6455.7424153300726</v>
      </c>
    </row>
    <row r="29" spans="1:3">
      <c r="A29" s="42" t="s">
        <v>122</v>
      </c>
      <c r="B29" s="60">
        <v>6028.9000000000015</v>
      </c>
      <c r="C29" s="60">
        <v>6280.7940712235277</v>
      </c>
    </row>
    <row r="30" spans="1:3">
      <c r="A30" s="42" t="s">
        <v>123</v>
      </c>
      <c r="B30" s="60">
        <v>5675.9</v>
      </c>
      <c r="C30" s="60">
        <v>5703.86932417549</v>
      </c>
    </row>
    <row r="31" spans="1:3">
      <c r="A31" s="42" t="s">
        <v>124</v>
      </c>
      <c r="B31" s="60">
        <v>6049.7</v>
      </c>
      <c r="C31" s="60">
        <v>6096.308792463381</v>
      </c>
    </row>
    <row r="32" spans="1:3">
      <c r="A32" s="42" t="s">
        <v>125</v>
      </c>
      <c r="B32" s="60">
        <v>5754.6</v>
      </c>
      <c r="C32" s="60">
        <v>6229.128748708119</v>
      </c>
    </row>
    <row r="33" spans="1:3">
      <c r="A33" s="42" t="s">
        <v>126</v>
      </c>
      <c r="B33" s="60">
        <v>5340.2000000000044</v>
      </c>
      <c r="C33" s="60">
        <v>5759.8615410677994</v>
      </c>
    </row>
    <row r="34" spans="1:3">
      <c r="A34" s="42" t="s">
        <v>127</v>
      </c>
      <c r="B34" s="60">
        <v>5138.8999999999996</v>
      </c>
      <c r="C34" s="60">
        <v>5162.2340472168153</v>
      </c>
    </row>
    <row r="35" spans="1:3">
      <c r="A35" s="42" t="s">
        <v>128</v>
      </c>
      <c r="B35" s="60">
        <v>5353.9</v>
      </c>
      <c r="C35" s="60">
        <v>5515.6941540669732</v>
      </c>
    </row>
    <row r="36" spans="1:3">
      <c r="A36" s="42" t="s">
        <v>129</v>
      </c>
      <c r="B36" s="60">
        <v>5369.4</v>
      </c>
      <c r="C36" s="60">
        <v>5483.7676228143901</v>
      </c>
    </row>
    <row r="37" spans="1:3">
      <c r="A37" s="42" t="s">
        <v>130</v>
      </c>
      <c r="B37" s="60">
        <v>5163.0000000000018</v>
      </c>
      <c r="C37" s="60">
        <v>5250.4237487568271</v>
      </c>
    </row>
    <row r="38" spans="1:3">
      <c r="A38" s="42" t="s">
        <v>131</v>
      </c>
      <c r="B38" s="60">
        <v>4955.6000000000004</v>
      </c>
      <c r="C38" s="60">
        <v>4940.5165969600857</v>
      </c>
    </row>
    <row r="39" spans="1:3">
      <c r="A39" s="42" t="s">
        <v>132</v>
      </c>
      <c r="B39" s="60">
        <v>5341.3</v>
      </c>
      <c r="C39" s="60">
        <v>5276.5129781484393</v>
      </c>
    </row>
    <row r="40" spans="1:3">
      <c r="A40" s="42" t="s">
        <v>133</v>
      </c>
      <c r="B40" s="60">
        <v>5430.6</v>
      </c>
      <c r="C40" s="60">
        <v>5388.2489067020515</v>
      </c>
    </row>
    <row r="41" spans="1:3">
      <c r="A41" s="42" t="s">
        <v>134</v>
      </c>
      <c r="B41" s="60">
        <v>5348.9999999999982</v>
      </c>
      <c r="C41" s="60">
        <v>5253.2191945463501</v>
      </c>
    </row>
    <row r="42" spans="1:3">
      <c r="A42" s="42" t="s">
        <v>135</v>
      </c>
      <c r="B42" s="60">
        <v>4714.3999999999996</v>
      </c>
      <c r="C42" s="60">
        <v>5067.097624151299</v>
      </c>
    </row>
    <row r="43" spans="1:3">
      <c r="A43" s="42" t="s">
        <v>136</v>
      </c>
      <c r="B43" s="60">
        <v>3761.5</v>
      </c>
      <c r="C43" s="60">
        <v>5185.9601100607952</v>
      </c>
    </row>
    <row r="44" spans="1:3">
      <c r="A44" s="42" t="s">
        <v>137</v>
      </c>
      <c r="B44" s="60">
        <v>5418.1</v>
      </c>
      <c r="C44" s="60">
        <v>4388.8362988011368</v>
      </c>
    </row>
    <row r="45" spans="1:3">
      <c r="A45" s="42" t="s">
        <v>138</v>
      </c>
      <c r="B45" s="60">
        <v>5314</v>
      </c>
      <c r="C45" s="60">
        <v>4866.476465524087</v>
      </c>
    </row>
    <row r="46" spans="1:3">
      <c r="A46" s="42" t="s">
        <v>139</v>
      </c>
      <c r="B46" s="60">
        <v>5124.6000000000004</v>
      </c>
      <c r="C46" s="60">
        <v>4812.4770344506605</v>
      </c>
    </row>
    <row r="47" spans="1:3">
      <c r="A47" s="42" t="s">
        <v>64</v>
      </c>
      <c r="B47" s="60">
        <v>5887.9</v>
      </c>
      <c r="C47" s="60">
        <v>5067.9050439739958</v>
      </c>
    </row>
    <row r="48" spans="1:3">
      <c r="A48" s="42" t="s">
        <v>65</v>
      </c>
      <c r="B48" s="60">
        <v>6201.3</v>
      </c>
      <c r="C48" s="60">
        <v>6259.070226322875</v>
      </c>
    </row>
    <row r="49" spans="1:3">
      <c r="A49" s="42" t="s">
        <v>140</v>
      </c>
      <c r="B49" s="60">
        <v>6009.2000000000007</v>
      </c>
      <c r="C49" s="60">
        <v>5917.3243449800921</v>
      </c>
    </row>
    <row r="50" spans="1:3">
      <c r="A50" s="42" t="s">
        <v>70</v>
      </c>
      <c r="B50" s="60">
        <v>5665.6</v>
      </c>
      <c r="C50" s="60">
        <v>5571.238941500791</v>
      </c>
    </row>
    <row r="51" spans="1:3">
      <c r="A51" s="42" t="s">
        <v>72</v>
      </c>
      <c r="B51" s="60">
        <v>5718.4</v>
      </c>
      <c r="C51" s="60">
        <v>5798.6669460533776</v>
      </c>
    </row>
    <row r="52" spans="1:3">
      <c r="A52" s="42" t="s">
        <v>73</v>
      </c>
      <c r="B52" s="60">
        <v>5872.1</v>
      </c>
      <c r="C52" s="60">
        <v>6282.0368019894377</v>
      </c>
    </row>
    <row r="53" spans="1:3">
      <c r="A53" s="42" t="s">
        <v>74</v>
      </c>
      <c r="B53" s="60">
        <v>5966.9000000000015</v>
      </c>
      <c r="C53" s="60">
        <v>5766.4406335404783</v>
      </c>
    </row>
    <row r="54" spans="1:3">
      <c r="A54" s="42" t="s">
        <v>78</v>
      </c>
      <c r="B54" s="60">
        <v>5897.8</v>
      </c>
      <c r="C54" s="60">
        <v>5492.6144837352958</v>
      </c>
    </row>
    <row r="55" spans="1:3">
      <c r="A55" s="42" t="s">
        <v>80</v>
      </c>
      <c r="B55" s="60">
        <v>6497.5</v>
      </c>
      <c r="C55" s="60">
        <v>5874.0164541064887</v>
      </c>
    </row>
    <row r="56" spans="1:3">
      <c r="A56" s="42" t="s">
        <v>81</v>
      </c>
      <c r="B56" s="60">
        <v>6692.2</v>
      </c>
      <c r="C56" s="60">
        <v>6752.444240755689</v>
      </c>
    </row>
    <row r="57" spans="1:3">
      <c r="A57" s="42" t="s">
        <v>82</v>
      </c>
      <c r="B57" s="60">
        <v>6406.5</v>
      </c>
      <c r="C57" s="60">
        <v>6545.4274802505015</v>
      </c>
    </row>
    <row r="58" spans="1:3">
      <c r="A58" s="42" t="s">
        <v>86</v>
      </c>
      <c r="B58" s="60">
        <v>6169</v>
      </c>
      <c r="C58" s="60">
        <v>6072.7411518903646</v>
      </c>
    </row>
    <row r="59" spans="1:3">
      <c r="A59" s="42" t="s">
        <v>88</v>
      </c>
      <c r="B59" s="60">
        <v>6490</v>
      </c>
      <c r="C59" s="60">
        <v>6314.0493266495641</v>
      </c>
    </row>
    <row r="60" spans="1:3">
      <c r="A60" s="42" t="s">
        <v>89</v>
      </c>
      <c r="B60" s="60">
        <v>6873</v>
      </c>
      <c r="C60" s="60">
        <v>6793.7012300845627</v>
      </c>
    </row>
    <row r="61" spans="1:3">
      <c r="A61" s="42" t="s">
        <v>90</v>
      </c>
      <c r="B61" s="60">
        <v>6388</v>
      </c>
      <c r="C61" s="60">
        <v>6650.693474186899</v>
      </c>
    </row>
    <row r="62" spans="1:3">
      <c r="A62" s="42" t="s">
        <v>178</v>
      </c>
      <c r="C62" s="60">
        <v>6146.6007877820384</v>
      </c>
    </row>
    <row r="63" spans="1:3">
      <c r="A63" s="42" t="s">
        <v>179</v>
      </c>
      <c r="C63" s="60">
        <v>6345.2110925951511</v>
      </c>
    </row>
    <row r="64" spans="1:3">
      <c r="A64" s="42" t="s">
        <v>180</v>
      </c>
      <c r="B64" s="42"/>
      <c r="C64" s="60">
        <v>6694.5336980667007</v>
      </c>
    </row>
    <row r="65" spans="1:3">
      <c r="A65" s="42" t="s">
        <v>181</v>
      </c>
      <c r="B65" s="42"/>
      <c r="C65" s="60">
        <v>6442.0485504806984</v>
      </c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4B566-722A-4F82-8C45-FEDFEF7442DA}">
  <dimension ref="A1:F21"/>
  <sheetViews>
    <sheetView workbookViewId="0">
      <selection activeCell="G23" sqref="G23"/>
    </sheetView>
  </sheetViews>
  <sheetFormatPr defaultRowHeight="14"/>
  <cols>
    <col min="1" max="1" width="11.5" customWidth="1"/>
    <col min="2" max="2" width="9.4140625" bestFit="1" customWidth="1"/>
    <col min="3" max="4" width="14.83203125" customWidth="1"/>
    <col min="5" max="5" width="14.6640625" bestFit="1" customWidth="1"/>
    <col min="9" max="9" width="18.5" bestFit="1" customWidth="1"/>
  </cols>
  <sheetData>
    <row r="1" spans="1:6">
      <c r="A1" s="54" t="s">
        <v>182</v>
      </c>
      <c r="B1" s="70" t="s">
        <v>209</v>
      </c>
      <c r="C1" s="70" t="s">
        <v>196</v>
      </c>
      <c r="D1" s="70"/>
      <c r="E1" s="42" t="s">
        <v>212</v>
      </c>
      <c r="F1" s="46">
        <v>4.5999999999999999E-3</v>
      </c>
    </row>
    <row r="2" spans="1:6">
      <c r="A2" s="42" t="s">
        <v>178</v>
      </c>
      <c r="B2" s="42" t="s">
        <v>206</v>
      </c>
      <c r="C2" s="60">
        <f>F3*(1+$F$1)</f>
        <v>6174.8751514058358</v>
      </c>
      <c r="D2" s="60"/>
      <c r="E2" s="42" t="s">
        <v>213</v>
      </c>
    </row>
    <row r="3" spans="1:6">
      <c r="A3" s="42" t="s">
        <v>179</v>
      </c>
      <c r="B3" s="42" t="s">
        <v>206</v>
      </c>
      <c r="C3" s="60">
        <f t="shared" ref="C3:C5" si="0">F4*(1+$F$1)</f>
        <v>6374.3990636210883</v>
      </c>
      <c r="D3" s="60"/>
      <c r="E3" s="42" t="s">
        <v>178</v>
      </c>
      <c r="F3" s="60">
        <v>6146.6007877820384</v>
      </c>
    </row>
    <row r="4" spans="1:6">
      <c r="A4" s="42" t="s">
        <v>180</v>
      </c>
      <c r="B4" s="42" t="s">
        <v>206</v>
      </c>
      <c r="C4" s="60">
        <f t="shared" si="0"/>
        <v>6725.3285530778076</v>
      </c>
      <c r="D4" s="60"/>
      <c r="E4" s="42" t="s">
        <v>179</v>
      </c>
      <c r="F4" s="60">
        <v>6345.2110925951511</v>
      </c>
    </row>
    <row r="5" spans="1:6">
      <c r="A5" s="42" t="s">
        <v>181</v>
      </c>
      <c r="B5" s="42" t="s">
        <v>206</v>
      </c>
      <c r="C5" s="60">
        <f t="shared" si="0"/>
        <v>6471.6819738129088</v>
      </c>
      <c r="D5" s="60"/>
      <c r="E5" s="42" t="s">
        <v>180</v>
      </c>
      <c r="F5" s="60">
        <v>6694.5336980667007</v>
      </c>
    </row>
    <row r="6" spans="1:6">
      <c r="A6" s="42" t="s">
        <v>178</v>
      </c>
      <c r="B6" s="42" t="s">
        <v>207</v>
      </c>
      <c r="C6" s="60">
        <f>F3*(1+1.5*$F$1)</f>
        <v>6189.0123332177336</v>
      </c>
      <c r="D6" s="60"/>
      <c r="E6" s="42" t="s">
        <v>181</v>
      </c>
      <c r="F6" s="60">
        <v>6442.0485504806984</v>
      </c>
    </row>
    <row r="7" spans="1:6">
      <c r="A7" s="42" t="s">
        <v>179</v>
      </c>
      <c r="B7" s="42" t="s">
        <v>207</v>
      </c>
      <c r="C7" s="60">
        <f>F4*(1+1.5*$F$1)</f>
        <v>6388.9930491340574</v>
      </c>
      <c r="D7" s="60"/>
    </row>
    <row r="8" spans="1:6">
      <c r="A8" s="42" t="s">
        <v>180</v>
      </c>
      <c r="B8" s="42" t="s">
        <v>207</v>
      </c>
      <c r="C8" s="60">
        <f>F5*(1+1.5*$F$1)</f>
        <v>6740.7259805833601</v>
      </c>
      <c r="D8" s="60"/>
      <c r="E8" s="42" t="s">
        <v>206</v>
      </c>
      <c r="F8" s="42" t="s">
        <v>215</v>
      </c>
    </row>
    <row r="9" spans="1:6">
      <c r="A9" s="42" t="s">
        <v>181</v>
      </c>
      <c r="B9" s="42" t="s">
        <v>207</v>
      </c>
      <c r="C9" s="60">
        <f>F6*(1+1.5*$F$1)</f>
        <v>6486.498685479015</v>
      </c>
      <c r="D9" s="60"/>
      <c r="E9" s="42" t="s">
        <v>207</v>
      </c>
      <c r="F9" s="42" t="s">
        <v>214</v>
      </c>
    </row>
    <row r="10" spans="1:6">
      <c r="A10" s="42" t="s">
        <v>178</v>
      </c>
      <c r="B10" s="42" t="s">
        <v>210</v>
      </c>
      <c r="C10" s="60">
        <f>F3*(1+3*$F$1)</f>
        <v>6231.4238786534306</v>
      </c>
      <c r="D10" s="60"/>
      <c r="E10" s="42" t="s">
        <v>210</v>
      </c>
      <c r="F10" s="42" t="s">
        <v>216</v>
      </c>
    </row>
    <row r="11" spans="1:6">
      <c r="A11" s="42" t="s">
        <v>179</v>
      </c>
      <c r="B11" s="42" t="s">
        <v>210</v>
      </c>
      <c r="C11" s="60">
        <f>F4*(1+3*$F$1)</f>
        <v>6432.7750056729647</v>
      </c>
      <c r="D11" s="60"/>
      <c r="E11" s="42" t="s">
        <v>211</v>
      </c>
      <c r="F11" s="42" t="s">
        <v>217</v>
      </c>
    </row>
    <row r="12" spans="1:6">
      <c r="A12" s="42" t="s">
        <v>180</v>
      </c>
      <c r="B12" s="42" t="s">
        <v>210</v>
      </c>
      <c r="C12" s="60">
        <f>F5*(1+3*$F$1)</f>
        <v>6786.9182631000212</v>
      </c>
      <c r="D12" s="60"/>
      <c r="E12" s="42" t="s">
        <v>208</v>
      </c>
      <c r="F12" s="42" t="s">
        <v>218</v>
      </c>
    </row>
    <row r="13" spans="1:6">
      <c r="A13" s="42" t="s">
        <v>181</v>
      </c>
      <c r="B13" s="42" t="s">
        <v>210</v>
      </c>
      <c r="C13" s="60">
        <f>F6*(1+3*$F$1)</f>
        <v>6530.9488204773324</v>
      </c>
      <c r="D13" s="60"/>
    </row>
    <row r="14" spans="1:6">
      <c r="A14" s="42" t="s">
        <v>178</v>
      </c>
      <c r="B14" s="42" t="s">
        <v>211</v>
      </c>
      <c r="C14" s="60">
        <f>F3*(1-$F$1)</f>
        <v>6118.326424158241</v>
      </c>
      <c r="D14" s="60"/>
    </row>
    <row r="15" spans="1:6">
      <c r="A15" s="42" t="s">
        <v>179</v>
      </c>
      <c r="B15" s="42" t="s">
        <v>211</v>
      </c>
      <c r="C15" s="60">
        <f>F4*(1-$F$1)</f>
        <v>6316.0231215692129</v>
      </c>
      <c r="D15" s="60"/>
    </row>
    <row r="16" spans="1:6">
      <c r="A16" s="42" t="s">
        <v>180</v>
      </c>
      <c r="B16" s="42" t="s">
        <v>211</v>
      </c>
      <c r="C16" s="60">
        <f>F5*(1-$F$1)</f>
        <v>6663.7388430555939</v>
      </c>
      <c r="D16" s="60"/>
    </row>
    <row r="17" spans="1:4">
      <c r="A17" s="42" t="s">
        <v>181</v>
      </c>
      <c r="B17" s="42" t="s">
        <v>211</v>
      </c>
      <c r="C17" s="60">
        <f>F6*(1-$F$1)</f>
        <v>6412.415127148487</v>
      </c>
      <c r="D17" s="60"/>
    </row>
    <row r="18" spans="1:4">
      <c r="A18" s="42" t="s">
        <v>178</v>
      </c>
      <c r="B18" s="42" t="s">
        <v>208</v>
      </c>
      <c r="C18" s="60">
        <f>F3*(1-2*$F$1)</f>
        <v>6090.0520605344436</v>
      </c>
      <c r="D18" s="60"/>
    </row>
    <row r="19" spans="1:4">
      <c r="A19" s="42" t="s">
        <v>179</v>
      </c>
      <c r="B19" s="42" t="s">
        <v>208</v>
      </c>
      <c r="C19" s="60">
        <f>F4*(1-2*$F$1)</f>
        <v>6286.8351505432756</v>
      </c>
      <c r="D19" s="60"/>
    </row>
    <row r="20" spans="1:4">
      <c r="A20" s="42" t="s">
        <v>180</v>
      </c>
      <c r="B20" s="42" t="s">
        <v>208</v>
      </c>
      <c r="C20" s="60">
        <f>F5*(1-2*$F$1)</f>
        <v>6632.943988044487</v>
      </c>
      <c r="D20" s="60"/>
    </row>
    <row r="21" spans="1:4">
      <c r="A21" s="42" t="s">
        <v>181</v>
      </c>
      <c r="B21" s="42" t="s">
        <v>208</v>
      </c>
      <c r="C21" s="60">
        <f>F6*(1-2*$F$1)</f>
        <v>6382.7817038162757</v>
      </c>
      <c r="D21" s="60"/>
    </row>
  </sheetData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98C466-95C6-4C47-82EA-C714D427E7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IncomeStatement</vt:lpstr>
      <vt:lpstr>IncomeStatement_T</vt:lpstr>
      <vt:lpstr>RevenueModel</vt:lpstr>
      <vt:lpstr>ModelSummary</vt:lpstr>
      <vt:lpstr>Actual vs. Budget</vt:lpstr>
      <vt:lpstr>Actual vs. Model</vt:lpstr>
      <vt:lpstr>Scenario 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Wenjun Yang</dc:creator>
  <cp:lastModifiedBy>Wenjun Yang</cp:lastModifiedBy>
  <dcterms:created xsi:type="dcterms:W3CDTF">2025-04-07T21:24:40Z</dcterms:created>
  <dcterms:modified xsi:type="dcterms:W3CDTF">2025-04-14T06:45:39Z</dcterms:modified>
</cp:coreProperties>
</file>